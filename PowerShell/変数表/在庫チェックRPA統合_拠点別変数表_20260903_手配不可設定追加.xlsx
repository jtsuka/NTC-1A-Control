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49186afdb344b0" /></Relationships>
</file>

<file path=xl/workbook.xml><?xml version="1.0" encoding="utf-8"?>
<x:workbook xmlns:x="http://schemas.openxmlformats.org/spreadsheetml/2006/main">
  <x:sheets>
    <x:sheet xmlns:r="http://schemas.openxmlformats.org/officeDocument/2006/relationships" name="サマリー" sheetId="1" r:id="R9f3845a0973249e6"/>
    <x:sheet xmlns:r="http://schemas.openxmlformats.org/officeDocument/2006/relationships" name="拠点別設定値" sheetId="2" r:id="Re914074afd3c46e2"/>
    <x:sheet xmlns:r="http://schemas.openxmlformats.org/officeDocument/2006/relationships" name="列加工定義" sheetId="3" r:id="Rb1e196d6c9bf43cb"/>
    <x:sheet xmlns:r="http://schemas.openxmlformats.org/officeDocument/2006/relationships" name="変数定義一覧" sheetId="4" r:id="R34c341bc9e814e7f"/>
    <x:sheet xmlns:r="http://schemas.openxmlformats.org/officeDocument/2006/relationships" name="要確認事項" sheetId="5" r:id="R4224fe240e844d10"/>
    <x:sheet xmlns:r="http://schemas.openxmlformats.org/officeDocument/2006/relationships" name="発注点リセット_部署別設定" sheetId="6" r:id="Rd2cd0727641b49ee"/>
    <x:sheet xmlns:r="http://schemas.openxmlformats.org/officeDocument/2006/relationships" name="単価シート参照設定" sheetId="7" r:id="R13f5d913411146dd"/>
  </x:sheets>
</x:workbook>
</file>

<file path=xl/sharedStrings.xml><?xml version="1.0" encoding="utf-8"?>
<x:sst xmlns:x="http://schemas.openxmlformats.org/spreadsheetml/2006/main">
  <x:si>
    <x:t xml:space="preserve">在庫チェックRPA統合化プロジェクト　拠点別変数表　サマリー</x:t>
  </x:si>
  <x:si>
    <x:t xml:space="preserve">最終更新：2026年7月6日／企画室　天野</x:t>
  </x:si>
  <x:si>
    <x:t xml:space="preserve">■ 対象拠点(拠点別設定値シートに全9行、9拠点とも共通ループで実行)</x:t>
  </x:si>
  <x:si>
    <x:t xml:space="preserve">拠点コード</x:t>
  </x:si>
  <x:si>
    <x:t xml:space="preserve">拠点名</x:t>
  </x:si>
  <x:si>
    <x:t xml:space="preserve">稼働フラグ</x:t>
  </x:si>
  <x:si>
    <x:t xml:space="preserve">処理シート範囲</x:t>
  </x:si>
  <x:si>
    <x:t xml:space="preserve">発注点リセット基準日確認</x:t>
  </x:si>
  <x:si>
    <x:t xml:space="preserve">Z1901</x:t>
  </x:si>
  <x:si>
    <x:t xml:space="preserve">札幌</x:t>
  </x:si>
  <x:si>
    <x:t xml:space="preserve">有</x:t>
  </x:si>
  <x:si>
    <x:t xml:space="preserve">1〜19</x:t>
  </x:si>
  <x:si>
    <x:t xml:space="preserve">実ファイル確認済み</x:t>
  </x:si>
  <x:si>
    <x:t xml:space="preserve">Z3932</x:t>
  </x:si>
  <x:si>
    <x:t xml:space="preserve">倉庫(本社)</x:t>
  </x:si>
  <x:si>
    <x:t xml:space="preserve">1〜20</x:t>
  </x:si>
  <x:si>
    <x:t xml:space="preserve">Z3951</x:t>
  </x:si>
  <x:si>
    <x:t xml:space="preserve">製造(大型)</x:t>
  </x:si>
  <x:si>
    <x:t xml:space="preserve">1〜8</x:t>
  </x:si>
  <x:si>
    <x:t xml:space="preserve">Z3934</x:t>
  </x:si>
  <x:si>
    <x:t xml:space="preserve">外注鉄</x:t>
  </x:si>
  <x:si>
    <x:t xml:space="preserve">1〜27</x:t>
  </x:si>
  <x:si>
    <x:t xml:space="preserve">Z1915</x:t>
  </x:si>
  <x:si>
    <x:t xml:space="preserve">船舶(機械部)</x:t>
  </x:si>
  <x:si>
    <x:t xml:space="preserve">1〜25</x:t>
  </x:si>
  <x:si>
    <x:t xml:space="preserve">Z1903</x:t>
  </x:si>
  <x:si>
    <x:t xml:space="preserve">仙台</x:t>
  </x:si>
  <x:si>
    <x:t xml:space="preserve">1〜18</x:t>
  </x:si>
  <x:si>
    <x:t xml:space="preserve">Z1907</x:t>
  </x:si>
  <x:si>
    <x:t xml:space="preserve">福岡</x:t>
  </x:si>
  <x:si>
    <x:t xml:space="preserve">未確認(PDFのみ)</x:t>
  </x:si>
  <x:si>
    <x:t xml:space="preserve">Z1905</x:t>
  </x:si>
  <x:si>
    <x:t xml:space="preserve">東京</x:t>
  </x:si>
  <x:si>
    <x:t xml:space="preserve">成果連絡表(色物)</x:t>
  </x:si>
  <x:si>
    <x:t xml:space="preserve">有(2026/7/3時点、共有フォルダで本日更新を確認済み)</x:t>
  </x:si>
  <x:si>
    <x:t xml:space="preserve">未確認(要現物確認)</x:t>
  </x:si>
  <x:si>
    <x:t xml:space="preserve">■ 2026/7/6 設計確定：成果連絡表(色物)は9拠点目として統合</x:t>
  </x:si>
  <x:si>
    <x:t xml:space="preserve">成果連絡表(色物)は拠点別設定値シートの9行目(拠点コード=Z3934/成果連絡表(色物))に統合し、他8拠点と同じ共通ループで実行する。以前記録していた「統合は見送り」は別シナリオとの混同であったため訂正(2026/7/6)。副CSV要否などの拠点固有差異は「CSVデータセット数」「副CSVファイル名」の有無によるデータドリブン判定で吸収し、個別の特別処理は設けない設計とする。
2026/7/6 「拠点ループ対象」列は廃止し、先頭列に新設した「処理有無」列(テスト・保留パラメータ管理用の可変スイッチ)に役割を一本化した。</x:t>
  </x:si>
  <x:si>
    <x:t xml:space="preserve">■ 要確認事項シート ステータス集計</x:t>
  </x:si>
  <x:si>
    <x:t xml:space="preserve">未確認</x:t>
  </x:si>
  <x:si>
    <x:t xml:space="preserve">14件</x:t>
  </x:si>
  <x:si>
    <x:t xml:space="preserve">決定済み</x:t>
  </x:si>
  <x:si>
    <x:t xml:space="preserve">22件</x:t>
  </x:si>
  <x:si>
    <x:t xml:space="preserve">確認済み・再評価等</x:t>
  </x:si>
  <x:si>
    <x:t xml:space="preserve">8件</x:t>
  </x:si>
  <x:si>
    <x:t xml:space="preserve">回答待ち(暫定反映)</x:t>
  </x:si>
  <x:si>
    <x:t xml:space="preserve">0件</x:t>
  </x:si>
  <x:si>
    <x:t xml:space="preserve">合計</x:t>
  </x:si>
  <x:si>
    <x:t xml:space="preserve">44件</x:t>
  </x:si>
  <x:si>
    <x:t xml:space="preserve">■ 荘田室長への最優先確認事項(未回答分)</x:t>
  </x:si>
  <x:si>
    <x:t xml:space="preserve">・東京：シートループ回数と実部署数の不一致は「業務的な未整備状態(バグではない)」と整理 → 統合版では処理対象シート_終了番号を19に是正済み</x:t>
  </x:si>
  <x:si>
    <x:t xml:space="preserve">・東京：実際に現在も稼働しているか(ローカルPC側)は未確認のまま。運用実態の直接確認が望ましい。
　※2026/7/6 シナリオPDF確認で判明した「特定ユーザー(ts226010)のパスをハードコードしている」問題自体は、2026/7/6 天野決定により{UserDeskTopPath}変数への統一＋デスクトップ配下の運用配置で解消済み（要確認事項#30 決定済み）。稼働可否そのものの確認（実ファイル更新停滞・稼働フラグ「無」の件、#35・#37参照）は別途継続。</x:t>
  </x:si>
  <x:si>
    <x:t xml:space="preserve">・福岡：発注点リセット基準日数(部署別)が実ファイル未入手のため未確認</x:t>
  </x:si>
  <x:si>
    <x:t xml:space="preserve">・仙台：19枚目シート(異常データ)がループ対象外である理由 → 2026/7/6 決定：終了番号が実在シート数より小さい場合は単なるスキップでよいという一般ルールが確定し、仙台は終了番号=18のままでよいことが確定</x:t>
  </x:si>
  <x:si>
    <x:t xml:space="preserve">■ 2026/7/6 荘田室長より正式回答受領（確定）</x:t>
  </x:si>
  <x:si>
    <x:t xml:space="preserve">・①外注鉄O列(発注点-在庫数差分)の転記先 → 確定：問題なし(各拠点共通処理化)。規定日数超過時に差分を発注点へ書き換え、発注点を引き下げる業務ロジックと判明</x:t>
  </x:si>
  <x:si>
    <x:t xml:space="preserve">・②発注点リセット基準日数のシート単位管理方式 → 確定：問題なし(便利)。仕入れリードタイム変更等でシート単位に基準日数を変えて運用してきた実績あり</x:t>
  </x:si>
  <x:si>
    <x:t xml:space="preserve">・③仙台のシート数19とループ回数18の不一致 → 確定：OK(対象コード消滅シートを空回りさせないため可変ループでよい)
　(終了番号&lt;実在シート数の場合は単なるスキップ、終了番号&gt;実在シート数の場合はエラーとする一般ルールを別途確定。仙台は前者に該当)</x:t>
  </x:si>
  <x:si>
    <x:t xml:space="preserve">・④外注鉄／成果連絡表(色物)の日付重複(=TODAY()と確定値) → ★想定と相違：設計ではなくコピー時の消し忘れの可能性大。実害なければどちらか一方を削除する方針に変更</x:t>
  </x:si>
  <x:si>
    <x:t xml:space="preserve">・⑤外注鉄3シートのコピペ形式(すべて→値のみ) → 確定：値のみコピーで統一してよい</x:t>
  </x:si>
  <x:si>
    <x:t xml:space="preserve">　※2026/7/6 荘田室長より正式回答受領済み。①②③⑤は想定通り確定。④のみ想定と異なり、実装方針を修正(重複列のどちらかを削除)。</x:t>
  </x:si>
  <x:si>
    <x:t xml:space="preserve">■ 実装上の注意点(RK-10シナリオ設計)</x:t>
  </x:si>
  <x:si>
    <x:t xml:space="preserve">・2026/7/6 判明：「Excel・CSVファイルから表を抽出」アクティビティは、対象範囲が全セル罫線(格子線)で囲まれていないと表として認識できず抽出に失敗する。</x:t>
  </x:si>
  <x:si>
    <x:t xml:space="preserve">　→本ファイル(拠点別変数表.xlsx)はRPAシナリオからは読み取り専用(表を抽出するだけで書き換えは行わない)で、更新は天野さんの手動編集のみのため、PowerShellでの自動チェック・自動修正の仕組みは不要と判断(日計RPAのCheck-ExcelBorders.ps1等とは性質が異なる)。</x:t>
  </x:si>
  <x:si>
    <x:t xml:space="preserve">　→拠点追加・項目追加などでシートを手動編集した際は、ヘッダー行〜データ行まで罫線が崩れていないか目視確認すること。</x:t>
  </x:si>
  <x:si>
    <x:t xml:space="preserve">・2026/7/6 設計変更：「拠点別設定値」と「個別管理シナリオ(拠点ループ対象外)」の2シート構成は廃止し、成果連絡表(色物)を拠点別設定値シートの9行目に統合。9行とも共通の8→9拠点ループで実行し、表の抽出は1回のみ。副CSVの要否などの拠点固有差異は「CSVデータセット数」「副CSVファイル名」等の値の有無でデータドリブンに判定し、拠点別・個別のIF分岐は設けない設計とした。</x:t>
  </x:si>
  <x:si>
    <x:t xml:space="preserve">■ 運用課題(要検討・未決定)：実行時間帯とライセンス制約</x:t>
  </x:si>
  <x:si>
    <x:t xml:space="preserve">2026/7/6 天野指摘：1拠点あたり約40分。現行の先行4拠点(倉庫/製造/外注鉄/船舶)で40分×4本=約160分。9拠点(成果連絡表(色物)含む)全てを組み込むと40分×9本=約360分(6時間)となり、朝2:30〜7:00の実行枠(約270分)に収まらない可能性が高い。</x:t>
  </x:si>
  <x:si>
    <x:t xml:space="preserve">対策候補(2026/7/6時点、未決定)：①一部拠点を9:00からの午前中駆動など別時間帯に分割実行②他PCでの並行実行(ただしライセンス数・他部署の利用時間帯への配慮が必要)③「処理有無」列を使って曜日・日付・時間帯によって動的に有効/無効を切り替える運用。</x:t>
  </x:si>
  <x:si>
    <x:t xml:space="preserve">9拠点統合が完了する前に、実行時間の実測値をもとにスケジュール設計を確定させる必要がある。</x:t>
  </x:si>
  <x:si>
    <x:t xml:space="preserve">在庫チェックRPA統合版　拠点別設定値テーブル（このシートを統合シナリオが参照する）</x:t>
  </x:si>
  <x:si>
    <x:t xml:space="preserve">基本情報</x:t>
  </x:si>
  <x:si>
    <x:t xml:space="preserve">稼働管理</x:t>
  </x:si>
  <x:si>
    <x:t xml:space="preserve">処理対象シート範囲</x:t>
  </x:si>
  <x:si>
    <x:t xml:space="preserve">格納フォルダ管理</x:t>
  </x:si>
  <x:si>
    <x:t xml:space="preserve">処理有無</x:t>
  </x:si>
  <x:si>
    <x:t xml:space="preserve">処理有無_備考</x:t>
  </x:si>
  <x:si>
    <x:t xml:space="preserve">TIMS起動引数</x:t>
  </x:si>
  <x:si>
    <x:t xml:space="preserve">CSVファイル名</x:t>
  </x:si>
  <x:si>
    <x:t xml:space="preserve">在庫帳ブック名</x:t>
  </x:si>
  <x:si>
    <x:t xml:space="preserve">参照元(ネットワーク)フルパス</x:t>
  </x:si>
  <x:si>
    <x:t xml:space="preserve">保存先(ネットワーク)フルパス</x:t>
  </x:si>
  <x:si>
    <x:t xml:space="preserve">欠品_列挿入位置</x:t>
  </x:si>
  <x:si>
    <x:t xml:space="preserve">欠品_コピペ元列</x:t>
  </x:si>
  <x:si>
    <x:t xml:space="preserve">欠品_コピペ先列</x:t>
  </x:si>
  <x:si>
    <x:t xml:space="preserve">欠品_処理開始行</x:t>
  </x:si>
  <x:si>
    <x:t xml:space="preserve">欠品_処理終了行</x:t>
  </x:si>
  <x:si>
    <x:t xml:space="preserve">在庫額_列挿入位置</x:t>
  </x:si>
  <x:si>
    <x:t xml:space="preserve">在庫額_コピペ元列</x:t>
  </x:si>
  <x:si>
    <x:t xml:space="preserve">在庫額_コピペ先列</x:t>
  </x:si>
  <x:si>
    <x:t xml:space="preserve">在庫額_処理開始行</x:t>
  </x:si>
  <x:si>
    <x:t xml:space="preserve">在庫額_処理終了行</x:t>
  </x:si>
  <x:si>
    <x:t xml:space="preserve">CSV範囲_終端列</x:t>
  </x:si>
  <x:si>
    <x:t xml:space="preserve">CSV範囲_終端行</x:t>
  </x:si>
  <x:si>
    <x:t xml:space="preserve">シートループ回数</x:t>
  </x:si>
  <x:si>
    <x:t xml:space="preserve">休日判定_実行</x:t>
  </x:si>
  <x:si>
    <x:t xml:space="preserve">ネット事前取得_実行</x:t>
  </x:si>
  <x:si>
    <x:t xml:space="preserve">OLDバックアップ_実行</x:t>
  </x:si>
  <x:si>
    <x:t xml:space="preserve">CSV空白除去_実行</x:t>
  </x:si>
  <x:si>
    <x:t xml:space="preserve">発注点補正_実行</x:t>
  </x:si>
  <x:si>
    <x:t xml:space="preserve">O列転記_実行</x:t>
  </x:si>
  <x:si>
    <x:t xml:space="preserve">追加終了プロセス_実行</x:t>
  </x:si>
  <x:si>
    <x:t xml:space="preserve">追加終了プロセス名</x:t>
  </x:si>
  <x:si>
    <x:t xml:space="preserve">CSVデータセット数</x:t>
  </x:si>
  <x:si>
    <x:t xml:space="preserve">副拠点コード</x:t>
  </x:si>
  <x:si>
    <x:t xml:space="preserve">副TIMS起動引数</x:t>
  </x:si>
  <x:si>
    <x:t xml:space="preserve">副CSVファイル名</x:t>
  </x:si>
  <x:si>
    <x:t xml:space="preserve">主CSV貼付開始セル</x:t>
  </x:si>
  <x:si>
    <x:t xml:space="preserve">副CSV貼付開始セル</x:t>
  </x:si>
  <x:si>
    <x:t xml:space="preserve">副CSV範囲_終端行</x:t>
  </x:si>
  <x:si>
    <x:t xml:space="preserve">欠品色_列挿入位置</x:t>
  </x:si>
  <x:si>
    <x:t xml:space="preserve">欠品色_コピペ元列</x:t>
  </x:si>
  <x:si>
    <x:t xml:space="preserve">欠品色_コピペ先列</x:t>
  </x:si>
  <x:si>
    <x:t xml:space="preserve">欠品色_処理開始行</x:t>
  </x:si>
  <x:si>
    <x:t xml:space="preserve">欠品色_処理終了行</x:t>
  </x:si>
  <x:si>
    <x:t xml:space="preserve">在庫額色_列挿入位置</x:t>
  </x:si>
  <x:si>
    <x:t xml:space="preserve">在庫額色_コピペ元列</x:t>
  </x:si>
  <x:si>
    <x:t xml:space="preserve">在庫額色_コピペ先列</x:t>
  </x:si>
  <x:si>
    <x:t xml:space="preserve">在庫額色_処理開始行</x:t>
  </x:si>
  <x:si>
    <x:t xml:space="preserve">在庫額色_処理終了行</x:t>
  </x:si>
  <x:si>
    <x:t xml:space="preserve">発注点リセット_実行</x:t>
  </x:si>
  <x:si>
    <x:t xml:space="preserve">発注点リセット_管理方式</x:t>
  </x:si>
  <x:si>
    <x:t xml:space="preserve">発注点リセット_設定参照先</x:t>
  </x:si>
  <x:si>
    <x:t xml:space="preserve">RPAシナリオ本体_フルパス</x:t>
  </x:si>
  <x:si>
    <x:t xml:space="preserve">処理対象シート_開始番号</x:t>
  </x:si>
  <x:si>
    <x:t xml:space="preserve">処理対象シート_終了番号</x:t>
  </x:si>
  <x:si>
    <x:t xml:space="preserve">欠品シート名</x:t>
  </x:si>
  <x:si>
    <x:t xml:space="preserve">在庫額シート名</x:t>
  </x:si>
  <x:si>
    <x:t xml:space="preserve">欠品色シート名</x:t>
  </x:si>
  <x:si>
    <x:t xml:space="preserve">在庫額色シート名</x:t>
  </x:si>
  <x:si>
    <x:t xml:space="preserve">在庫帳ブックローカルフォルダ名</x:t>
  </x:si>
  <x:si>
    <x:t xml:space="preserve">-site:"Z1901"</x:t>
  </x:si>
  <x:si>
    <x:t xml:space="preserve">札幌在庫データ.csv</x:t>
  </x:si>
  <x:si>
    <x:t xml:space="preserve">札幌在庫帳.xlsx</x:t>
  </x:si>
  <x:si>
    <x:t xml:space="preserve">\\192.168.0.35\disk\企画室\倉庫\前日データ\札幌在庫帳.xlsx</x:t>
  </x:si>
  <x:si>
    <x:t xml:space="preserve">\\192.168.0.35\disk\企画室\倉庫</x:t>
  </x:si>
  <x:si>
    <x:t xml:space="preserve">X</x:t>
  </x:si>
  <x:si>
    <x:t xml:space="preserve">W</x:t>
  </x:si>
  <x:si>
    <x:t xml:space="preserve">V</x:t>
  </x:si>
  <x:si>
    <x:t xml:space="preserve">U</x:t>
  </x:si>
  <x:si>
    <x:t xml:space="preserve">D</x:t>
  </x:si>
  <x:si>
    <x:t xml:space="preserve">無</x:t>
  </x:si>
  <x:si>
    <x:t xml:space="preserve">有(統合版で新規実装要・現行札幌シナリオには無し)</x:t>
  </x:si>
  <x:si>
    <x:t xml:space="preserve">A3</x:t>
  </x:si>
  <x:si>
    <x:t xml:space="preserve">部署別テーブル参照</x:t>
  </x:si>
  <x:si>
    <x:t xml:space="preserve">発注点リセット_部署別設定シート</x:t>
  </x:si>
  <x:si>
    <x:t xml:space="preserve">欠品</x:t>
  </x:si>
  <x:si>
    <x:t xml:space="preserve">在庫額</x:t>
  </x:si>
  <x:si>
    <x:t xml:space="preserve">在庫帳</x:t>
  </x:si>
  <x:si>
    <x:t xml:space="preserve">-site:"Z3932"</x:t>
  </x:si>
  <x:si>
    <x:t xml:space="preserve">倉庫在庫データ.csv</x:t>
  </x:si>
  <x:si>
    <x:t xml:space="preserve">本社商品在庫日報.xlsx</x:t>
  </x:si>
  <x:si>
    <x:t xml:space="preserve">\\192.168.0.35\disk\企画室\倉庫\前日データ\本社商品在庫日報.xlsx</x:t>
  </x:si>
  <x:si>
    <x:t xml:space="preserve">Y</x:t>
  </x:si>
  <x:si>
    <x:t xml:space="preserve">T</x:t>
  </x:si>
  <x:si>
    <x:t xml:space="preserve">有(PowerShell方式)</x:t>
  </x:si>
  <x:si>
    <x:t xml:space="preserve">TIMS_C05_InvntInq.exe</x:t>
  </x:si>
  <x:si>
    <x:t xml:space="preserve">-site:"Z3951"</x:t>
  </x:si>
  <x:si>
    <x:t xml:space="preserve">製造在庫データ.csv</x:t>
  </x:si>
  <x:si>
    <x:t xml:space="preserve">製造在庫帳（大型）.xlsx</x:t>
  </x:si>
  <x:si>
    <x:t xml:space="preserve">\\192.168.0.35\disk\企画室\倉庫\前日データ\製造在庫帳（大型）.xlsx</x:t>
  </x:si>
  <x:si>
    <x:t xml:space="preserve">AD</x:t>
  </x:si>
  <x:si>
    <x:t xml:space="preserve">AC</x:t>
  </x:si>
  <x:si>
    <x:t xml:space="preserve">AA</x:t>
  </x:si>
  <x:si>
    <x:t xml:space="preserve">Z</x:t>
  </x:si>
  <x:si>
    <x:t xml:space="preserve">無※要確認</x:t>
  </x:si>
  <x:si>
    <x:t xml:space="preserve">-site:"Z3934"</x:t>
  </x:si>
  <x:si>
    <x:t xml:space="preserve">外注在庫データ.csv</x:t>
  </x:si>
  <x:si>
    <x:t xml:space="preserve">外注鉄在庫帳.xlsx</x:t>
  </x:si>
  <x:si>
    <x:t xml:space="preserve">\\192.168.0.35\disk\企画室\倉庫\前日データ\外注鉄在庫帳.xlsx</x:t>
  </x:si>
  <x:si>
    <x:t xml:space="preserve">無※資料上確認できず</x:t>
  </x:si>
  <x:si>
    <x:t xml:space="preserve">A4000</x:t>
  </x:si>
  <x:si>
    <x:t xml:space="preserve">在庫切れ</x:t>
  </x:si>
  <x:si>
    <x:t xml:space="preserve">欠品（色）</x:t>
  </x:si>
  <x:si>
    <x:t xml:space="preserve">在庫額（色）</x:t>
  </x:si>
  <x:si>
    <x:t xml:space="preserve">-site:"Z1915"</x:t>
  </x:si>
  <x:si>
    <x:t xml:space="preserve">船舶在庫データ.csv</x:t>
  </x:si>
  <x:si>
    <x:t xml:space="preserve">船舶在庫帳.xlsx</x:t>
  </x:si>
  <x:si>
    <x:t xml:space="preserve">\\192.168.0.35\disk\企画室\倉庫\前日データ\船舶在庫帳.xlsx</x:t>
  </x:si>
  <x:si>
    <x:t xml:space="preserve">-site:"Z1903"</x:t>
  </x:si>
  <x:si>
    <x:t xml:space="preserve">仙台在庫データ.csv</x:t>
  </x:si>
  <x:si>
    <x:t xml:space="preserve">仙台在庫帳.xlsx</x:t>
  </x:si>
  <x:si>
    <x:t xml:space="preserve">\\192.168.0.35\disk\企画室\倉庫\前日データ\仙台在庫帳.xlsx</x:t>
  </x:si>
  <x:si>
    <x:t xml:space="preserve">有(Excel置換方式)</x:t>
  </x:si>
  <x:si>
    <x:t xml:space="preserve">-site:"Z1907"</x:t>
  </x:si>
  <x:si>
    <x:t xml:space="preserve">福岡在庫データ.csv</x:t>
  </x:si>
  <x:si>
    <x:t xml:space="preserve">福岡在庫帳.xlsx</x:t>
  </x:si>
  <x:si>
    <x:t xml:space="preserve">\\192.168.0.35\disk\企画室\倉庫\前日データ\福岡在庫帳.xlsx</x:t>
  </x:si>
  <x:si>
    <x:t xml:space="preserve">-site:"Z1905"</x:t>
  </x:si>
  <x:si>
    <x:t xml:space="preserve">東京在庫データ.csv</x:t>
  </x:si>
  <x:si>
    <x:t xml:space="preserve">東京在庫帳.xlsx</x:t>
  </x:si>
  <x:si>
    <x:t xml:space="preserve">\\192.168.0.35\disk\企画室\倉庫\前日データ\東京在庫帳.xlsx</x:t>
  </x:si>
  <x:si>
    <x:t xml:space="preserve">有(2026/7/3。ローカル保存のみのため実際の稼働有無は別途要確認だが、統合対象としては有効)</x:t>
  </x:si>
  <x:si>
    <x:t xml:space="preserve">成果連絡表（色物）.xlsx</x:t>
  </x:si>
  <x:si>
    <x:t xml:space="preserve">\\192.168.0.35\disk\企画室\倉庫\前日データ\成果連絡表（色物）.xlsx</x:t>
  </x:si>
  <x:si>
    <x:t xml:space="preserve">TIMS_ClientPC.exe / TIMS_C05_InvntInq.exe</x:t>
  </x:si>
  <x:si>
    <x:t xml:space="preserve">A4034</x:t>
  </x:si>
  <x:si>
    <x:t xml:space="preserve">AB</x:t>
  </x:si>
  <x:si>
    <x:t xml:space="preserve">AE</x:t>
  </x:si>
  <x:si>
    <x:t xml:space="preserve">発注点割れ</x:t>
  </x:si>
  <x:si>
    <x:t xml:space="preserve">区分</x:t>
  </x:si>
  <x:si>
    <x:t xml:space="preserve">系統</x:t>
  </x:si>
  <x:si>
    <x:t xml:space="preserve">シート名</x:t>
  </x:si>
  <x:si>
    <x:t xml:space="preserve">列削除_開始位置</x:t>
  </x:si>
  <x:si>
    <x:t xml:space="preserve">列挿入位置</x:t>
  </x:si>
  <x:si>
    <x:t xml:space="preserve">ステップ番号</x:t>
  </x:si>
  <x:si>
    <x:t xml:space="preserve">コピー範囲</x:t>
  </x:si>
  <x:si>
    <x:t xml:space="preserve">貼付先セル</x:t>
  </x:si>
  <x:si>
    <x:t xml:space="preserve">貼付形式</x:t>
  </x:si>
  <x:si>
    <x:t xml:space="preserve">備考</x:t>
  </x:si>
  <x:si>
    <x:t xml:space="preserve">列削除列挿入_要否</x:t>
  </x:si>
  <x:si>
    <x:t xml:space="preserve">標準</x:t>
  </x:si>
  <x:si>
    <x:t xml:space="preserve">値</x:t>
  </x:si>
  <x:si>
    <x:t xml:space="preserve">すべて</x:t>
  </x:si>
  <x:si>
    <x:t xml:space="preserve">末尾2行(書式ずれ対策)。2026/7/6荘田室長回答により貼付形式は「値」に統一／2026/8/5 実データ検証済み：V1.0個別シナリオ(外注鉄・仙台)と同じ「すべて」に統一。全9拠点の答えファイルで位置(処理開始行+1=目標値行)を実機照合済み</x:t>
  </x:si>
  <x:si>
    <x:t xml:space="preserve">色物</x:t>
  </x:si>
  <x:si>
    <x:t xml:space="preserve">変数名</x:t>
  </x:si>
  <x:si>
    <x:t xml:space="preserve">型</x:t>
  </x:si>
  <x:si>
    <x:t xml:space="preserve">説明</x:t>
  </x:si>
  <x:si>
    <x:t xml:space="preserve">文字列</x:t>
  </x:si>
  <x:si>
    <x:t xml:space="preserve">TIMS起動時の-siteパラメータに使う識別コード</x:t>
  </x:si>
  <x:si>
    <x:t xml:space="preserve">表示・ログ出力用の拠点名</x:t>
  </x:si>
  <x:si>
    <x:t xml:space="preserve">TIMS_ClientPC.exe起動時の引数（-site:"コード"）</x:t>
  </x:si>
  <x:si>
    <x:t xml:space="preserve">拠点コードから組立可</x:t>
  </x:si>
  <x:si>
    <x:t xml:space="preserve">TIMSからエクスポートするCSVのファイル名</x:t>
  </x:si>
  <x:si>
    <x:t xml:space="preserve">処理対象の在庫帳/日報Excelファイル名</x:t>
  </x:si>
  <x:si>
    <x:t xml:space="preserve">処理後にファイルを保存するネットワーク共有先</x:t>
  </x:si>
  <x:si>
    <x:t xml:space="preserve">欠品シート構造</x:t>
  </x:si>
  <x:si>
    <x:t xml:space="preserve">整数</x:t>
  </x:si>
  <x:si>
    <x:t xml:space="preserve">欠品シートで新規列を挿入する位置</x:t>
  </x:si>
  <x:si>
    <x:t xml:space="preserve">テンプレート由来の差異</x:t>
  </x:si>
  <x:si>
    <x:t xml:space="preserve">列記号</x:t>
  </x:si>
  <x:si>
    <x:t xml:space="preserve">コピー元の列（挿入前の最終列相当）</x:t>
  </x:si>
  <x:si>
    <x:t xml:space="preserve">貼り付け先の列（挿入で1列前にずれた列）</x:t>
  </x:si>
  <x:si>
    <x:t xml:space="preserve">欠品データの処理開始行</x:t>
  </x:si>
  <x:si>
    <x:t xml:space="preserve">将来的に動的取得へ置換候補</x:t>
  </x:si>
  <x:si>
    <x:t xml:space="preserve">欠品データの処理終了行</x:t>
  </x:si>
  <x:si>
    <x:t xml:space="preserve">在庫額シート構造</x:t>
  </x:si>
  <x:si>
    <x:t xml:space="preserve">在庫額シートで新規列を挿入する位置</x:t>
  </x:si>
  <x:si>
    <x:t xml:space="preserve">コピー元の列</x:t>
  </x:si>
  <x:si>
    <x:t xml:space="preserve">貼り付け先の列</x:t>
  </x:si>
  <x:si>
    <x:t xml:space="preserve">在庫額データの処理開始行</x:t>
  </x:si>
  <x:si>
    <x:t xml:space="preserve">在庫額データの処理終了行</x:t>
  </x:si>
  <x:si>
    <x:t xml:space="preserve">CSV/ループ</x:t>
  </x:si>
  <x:si>
    <x:t xml:space="preserve">CSVコピペ範囲の終端列</x:t>
  </x:si>
  <x:si>
    <x:t xml:space="preserve">CSVコピペ範囲の終端行（現状は固定値）</x:t>
  </x:si>
  <x:si>
    <x:t xml:space="preserve">将来的に「最初の空行」で動的化候補</x:t>
  </x:si>
  <x:si>
    <x:t xml:space="preserve">拠点別データシート(1,2,3...)を処理する回数</x:t>
  </x:si>
  <x:si>
    <x:t xml:space="preserve">将来的にシート数取得で動的化候補
2026/7/6：終了番号との不一致時の挙動仕様は「処理対象シート_終了番号」の備考を参照。</x:t>
  </x:si>
  <x:si>
    <x:t xml:space="preserve">処理フラグ</x:t>
  </x:si>
  <x:si>
    <x:t xml:space="preserve">有/無</x:t>
  </x:si>
  <x:si>
    <x:t xml:space="preserve">カレンダー参照による休日スキップ処理を行うか</x:t>
  </x:si>
  <x:si>
    <x:t xml:space="preserve">倉庫・製造・船舶は有、札幌は無</x:t>
  </x:si>
  <x:si>
    <x:t xml:space="preserve">処理前にネットワークから最新ブックをローカルへ取得するか</x:t>
  </x:si>
  <x:si>
    <x:t xml:space="preserve">処理前の旧ファイルをOLDフォルダへ退避するか</x:t>
  </x:si>
  <x:si>
    <x:t xml:space="preserve">倉庫・船舶は有、製造は要確認、札幌は無</x:t>
  </x:si>
  <x:si>
    <x:t xml:space="preserve">TIMS出力CSVの余分な半角スペースをPowerShellで除去するか</x:t>
  </x:si>
  <x:si>
    <x:t xml:space="preserve">2026/7/3 天野判断：TIMS出力CSVは全拠点で半角スペース混入が常態であり、後工程(COUNTIF等の一致判定)に支障が出るため、方式(PowerShell/Excel置換)は問わず全拠点で有効化を必須とする。札幌は現行シナリオに同処理が無く、統合版での新規実装対象。</x:t>
  </x:si>
  <x:si>
    <x:t xml:space="preserve">COUNTIFによる発注点(E列)未設定商品への自動補完を行うか</x:t>
  </x:si>
  <x:si>
    <x:t xml:space="preserve">2026/7/3 荘田室長口頭確認により全拠点共通実装に決定（発注点0かつ在庫&gt;0の場合、在庫数を発注点に書き換え）</x:t>
  </x:si>
  <x:si>
    <x:t xml:space="preserve">O列(発注点-在庫数)の値をE列へ転記する処理を行うか</x:t>
  </x:si>
  <x:si>
    <x:t xml:space="preserve">製造のみ有（倉庫・札幌・船舶は無）</x:t>
  </x:si>
  <x:si>
    <x:t xml:space="preserve">プロセス終了</x:t>
  </x:si>
  <x:si>
    <x:t xml:space="preserve">TIMS_ClientPC.exeに加えて追加のプロセスも終了するか</x:t>
  </x:si>
  <x:si>
    <x:t xml:space="preserve">追加で終了するプロセスの実行ファイル名</x:t>
  </x:si>
  <x:si>
    <x:t xml:space="preserve">TIMS_C05_InvntInq.exe 等</x:t>
  </x:si>
  <x:si>
    <x:t xml:space="preserve">複数CSVデータセット</x:t>
  </x:si>
  <x:si>
    <x:t xml:space="preserve">1回のシナリオでTIMSから取得して在庫帳へ貼り付けるCSVの本数</x:t>
  </x:si>
  <x:si>
    <x:t xml:space="preserve">表示・確認用の参考値。シナリオ本体の分岐条件は「副拠点コード」の有無を用いる。</x:t>
  </x:si>
  <x:si>
    <x:t xml:space="preserve">2本目のCSVを取得するTIMS拠点コード</x:t>
  </x:si>
  <x:si>
    <x:t xml:space="preserve">2026/7/3決定：統合シナリオはこの値が空欄かどうかで2本目のCSV取得要否を判定する(空欄なら取得しない)。実質的な制御フラグはこの列。</x:t>
  </x:si>
  <x:si>
    <x:t xml:space="preserve">2本目のCSV取得時にTIMS_ClientPC.exeへ渡す引数</x:t>
  </x:si>
  <x:si>
    <x:t xml:space="preserve">-site:"副拠点コード"</x:t>
  </x:si>
  <x:si>
    <x:t xml:space="preserve">2本目にTIMSからエクスポートするCSVファイル名</x:t>
  </x:si>
  <x:si>
    <x:t xml:space="preserve">外注鉄では倉庫在庫データ.csv</x:t>
  </x:si>
  <x:si>
    <x:t xml:space="preserve">セル番地</x:t>
  </x:si>
  <x:si>
    <x:t xml:space="preserve">主CSVをバーコード貼付シートへ貼り付ける開始セル</x:t>
  </x:si>
  <x:si>
    <x:t xml:space="preserve">通常はA3、外注鉄はA4000</x:t>
  </x:si>
  <x:si>
    <x:t xml:space="preserve">副CSVをバーコード貼付シートへ貼り付ける開始セル</x:t>
  </x:si>
  <x:si>
    <x:t xml:space="preserve">外注鉄はA3</x:t>
  </x:si>
  <x:si>
    <x:t xml:space="preserve">副CSVのコピー範囲終端行</x:t>
  </x:si>
  <x:si>
    <x:t xml:space="preserve">外注鉄では3953</x:t>
  </x:si>
  <x:si>
    <x:t xml:space="preserve">欠品（色）シート構造</x:t>
  </x:si>
  <x:si>
    <x:t xml:space="preserve">欠品（色）シートで新規列を挿入する位置</x:t>
  </x:si>
  <x:si>
    <x:t xml:space="preserve">外注鉄シナリオで確認</x:t>
  </x:si>
  <x:si>
    <x:t xml:space="preserve">欠品（色）シートのコピー元列</x:t>
  </x:si>
  <x:si>
    <x:t xml:space="preserve">外注鉄ではAA</x:t>
  </x:si>
  <x:si>
    <x:t xml:space="preserve">欠品（色）シートの貼り付け先列</x:t>
  </x:si>
  <x:si>
    <x:t xml:space="preserve">外注鉄ではZ</x:t>
  </x:si>
  <x:si>
    <x:t xml:space="preserve">欠品（色）シートの処理開始行</x:t>
  </x:si>
  <x:si>
    <x:t xml:space="preserve">外注鉄では41</x:t>
  </x:si>
  <x:si>
    <x:t xml:space="preserve">欠品（色）シートの処理終了行</x:t>
  </x:si>
  <x:si>
    <x:t xml:space="preserve">外注鉄では63</x:t>
  </x:si>
  <x:si>
    <x:t xml:space="preserve">在庫額（色）シート構造</x:t>
  </x:si>
  <x:si>
    <x:t xml:space="preserve">在庫額（色）シートで新規列を挿入する位置</x:t>
  </x:si>
  <x:si>
    <x:t xml:space="preserve">在庫額（色）シートのコピー元列</x:t>
  </x:si>
  <x:si>
    <x:t xml:space="preserve">外注鉄ではW</x:t>
  </x:si>
  <x:si>
    <x:t xml:space="preserve">在庫額（色）シートの貼り付け先列</x:t>
  </x:si>
  <x:si>
    <x:t xml:space="preserve">外注鉄ではV</x:t>
  </x:si>
  <x:si>
    <x:t xml:space="preserve">在庫額（色）シートの処理開始行</x:t>
  </x:si>
  <x:si>
    <x:t xml:space="preserve">在庫額（色）シートの処理終了行</x:t>
  </x:si>
  <x:si>
    <x:t xml:space="preserve">発注点0リセット機能</x:t>
  </x:si>
  <x:si>
    <x:t xml:space="preserve">在庫0が一定期間継続した場合に発注点(E列)を0にリセットする機能を実行するか</x:t>
  </x:si>
  <x:si>
    <x:t xml:space="preserve">2026/7/3 荘田室長口頭確認により実装方針決定。全拠点で有</x:t>
  </x:si>
  <x:si>
    <x:t xml:space="preserve">リセット基準日数の管理方式（固定文字列：部署別テーブル参照）</x:t>
  </x:si>
  <x:si>
    <x:t xml:space="preserve">サイト単位ではなく部署(シート)単位で管理するため、詳細は別シート参照</x:t>
  </x:si>
  <x:si>
    <x:t xml:space="preserve">詳細設定を保持するシート名</x:t>
  </x:si>
  <x:si>
    <x:t xml:space="preserve">「発注点リセット_部署別設定」シートを参照</x:t>
  </x:si>
  <x:si>
    <x:t xml:space="preserve">統合シナリオがこの拠点を処理対象に含めるか。無の場合はこの拠点をスキップする。</x:t>
  </x:si>
  <x:si>
    <x:t xml:space="preserve">2026/7/3新設。東京は実ファイル未更新(半年以上CSV更新なし)が確認されたため暫定的に「無」。荘田さん確認後に有効化できるようパラメータ化。</x:t>
  </x:si>
  <x:si>
    <x:t xml:space="preserve">この拠点の(統合前)個別RPAシナリオファイル自体の保存先フルパス</x:t>
  </x:si>
  <x:si>
    <x:t xml:space="preserve">2026/7/3新設。現時点では未収集(各拠点PDFにはシナリオ本体のファイルパスまでは記載が無かったため空欄)。実担当・KEYENCE RK-10管理画面等で確認要。</x:t>
  </x:si>
  <x:si>
    <x:t xml:space="preserve">部署シートのループ処理を開始する番号(通常は1)</x:t>
  </x:si>
  <x:si>
    <x:t xml:space="preserve">2026/7/3新設。従来の「シートループ回数」(常に1から数える前提)を、開始・終了を明示的に指定できる形に拡張。</x:t>
  </x:si>
  <x:si>
    <x:t xml:space="preserve">部署シートのループ処理を終了する番号</x:t>
  </x:si>
  <x:si>
    <x:t xml:space="preserve">2026/7/3新設。東京はこれまでの16→19に是正(荘田さん確認済み)。仙台は19枚目が異常データのため18のまま暫定。
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x:t>
  </x:si>
  <x:si>
    <x:t xml:space="preserve">この行(拠点)を今回の実行対象に含めるかどうか。テスト時の対象絞り込みや、未来日付でまだ使わない設定・削除はしないが今は使わない設定の一時保管にも使う。</x:t>
  </x:si>
  <x:si>
    <x:t xml:space="preserve">2026/7/6 新設(先頭列)。「拠点ループ対象」列は役割が重複するため廃止しこちらに一本化。</x:t>
  </x:si>
  <x:si>
    <x:t xml:space="preserve">処理有無を「無」にしている理由の記録用。テスト除外／未来日付でまだ使わない設定／削除せず保留中の設定、のどれに該当するか等を記載。「有」の行は空欄でよい。</x:t>
  </x:si>
  <x:si>
    <x:t xml:space="preserve">2026/7/6 新設。処理有無だけだと半年後などに理由が分からなくなるため追加。</x:t>
  </x:si>
  <x:si>
    <x:t xml:space="preserve">シート名管理</x:t>
  </x:si>
  <x:si>
    <x:t xml:space="preserve">欠品系データを書き込むシートの実際の名称</x:t>
  </x:si>
  <x:si>
    <x:t xml:space="preserve">2026/7/7新設。外注鉄のみ「在庫切れ」、他は「欠品」</x:t>
  </x:si>
  <x:si>
    <x:t xml:space="preserve">在庫額系データを書き込むシートの実際の名称</x:t>
  </x:si>
  <x:si>
    <x:t xml:space="preserve">2026/7/7新設。他は「在庫額」だが、拠点によって異なりうるため列化</x:t>
  </x:si>
  <x:si>
    <x:t xml:space="preserve">欠品色系データを書き込むシートの実際の名称</x:t>
  </x:si>
  <x:si>
    <x:t xml:space="preserve">2026/7/7新設。外注鉄は「欠品(色)」、成果連絡表(色物)はこの列に自身の主データ用シート名「欠品」を格納（欠品色_*列を色物本体データの格納先として流用しているため）</x:t>
  </x:si>
  <x:si>
    <x:t xml:space="preserve">在庫額色系データを書き込むシートの実際の名称</x:t>
  </x:si>
  <x:si>
    <x:t xml:space="preserve">2026/7/7新設。外注鉄は「在庫額(色)」、成果連絡表(色物)は「発注点割れ」</x:t>
  </x:si>
  <x:si>
    <x:t xml:space="preserve">ステータス</x:t>
  </x:si>
  <x:si>
    <x:t xml:space="preserve">対象拠点</x:t>
  </x:si>
  <x:si>
    <x:t xml:space="preserve">項目</x:t>
  </x:si>
  <x:si>
    <x:t xml:space="preserve">内容</x:t>
  </x:si>
  <x:si>
    <x:t xml:space="preserve">決定済み(実装方針決定)</x:t>
  </x:si>
  <x:si>
    <x:t xml:space="preserve">製造</x:t>
  </x:si>
  <x:si>
    <x:t xml:space="preserve">資料上、倉庫にはOLDフォルダ退避処理の記載があるが、製造の資料には同処理が確認できなかった。未実装か、確認漏れか。
【2026/7/6 シナリオPDF確認】製造在庫チェック-V1.0のPDFを確認。ファイルコピー(17行目)の直後はメモ「念のために起動しているTIMSを止める」(18行目)に進んでおり、倉庫・船舶にある「処理前(前日)分をOLDフォルダーにバックアップする」ブロック(V1)が存在しない。製造にはOLDバックアップ機能は未実装であることを確認(確認漏れではなく実装差)。統合版では製造のOLDバックアップ_実行フラグを「無」で確定。
【2026/7/6 天野決定】製造のOLDバックアップ機能は統合版で新規実装する（当初の「無」判定から方針変更）。残し方は、ファイル名末尾に「-YYYYMMDD」（処理実行日）を付与し、指定した保存フォルダに保存する方式に決定。</x:t>
  </x:si>
  <x:si>
    <x:t xml:space="preserve">CSVコピペ貼付先</x:t>
  </x:si>
  <x:si>
    <x:t xml:space="preserve">製造版のCSV→バーコード貼付コピペで、貼付先が単一セルではなく範囲(A3:C1400)表記になっている。他拠点は単一セルA3。仕様差か記載の揺れか要確認。
【2026/7/6 シナリオPDF確認】製造在庫チェック-V1.0のPDF(93行目)を確認したが、画像の解像度上「単一セル A3」なのか「A3:C1400」の範囲指定なのか判別しきれず。他拠点(東京・福岡・倉庫・船舶)はいずれも単一セル(A3等)への「すべて」貼付で統一されている。実機で製造シナリオのこのステップを開いて設定内容を直接確認するのが確実。
【2026/7/6 製造在庫チェック-V1.0 PDF実物確認により確定】
欠品シート：本体範囲 AD37:AD47 → AC37（貼付形式：値）／末尾2行 AD38:AD39 → AC38（貼付形式：すべて）
在庫額シート：本体範囲 AA37:AA48 → Z37（貼付形式：値）／末尾2行 AA38:AA39 → Z38（貼付形式：すべて）
引継ぎメモの「本体範囲を値貼付＋末尾2行をすべて貼付」という2段階構造どおりであることを確認。単一セルではなく上記の通り単一セル貼付＋開始行37で他拠点と整合。</x:t>
  </x:si>
  <x:si>
    <x:t xml:space="preserve">倉庫/札幌</x:t>
  </x:si>
  <x:si>
    <x:t xml:space="preserve">商品別シートの列構成(D/E/O等)</x:t>
  </x:si>
  <x:si>
    <x:t xml:space="preserve">発注点補正・O列転記の列構成は製造の実ファイルでのみ実データ確認済み。倉庫・札幌の商品別シート(1,2,3…)が同じ列構成か未確認。</x:t>
  </x:si>
  <x:si>
    <x:t xml:space="preserve">決定済み(パターン確認)</x:t>
  </x:si>
  <x:si>
    <x:t xml:space="preserve">全拠点</x:t>
  </x:si>
  <x:si>
    <x:t xml:space="preserve">欠品/在庫額_処理開始行・終了行</x:t>
  </x:si>
  <x:si>
    <x:t xml:space="preserve">現状は固定値。将来的に「最初の空行取得」等で動的化するか、固定値のまま設定表で管理するかの方針を確定させる必要がある。
【2026/7/6 シナリオPDF確認】6拠点分(成果連絡表・東京・福岡・船舶・倉庫・製造)のPDFを比較した結果、欠品/在庫額シートのコピペは全拠点で「本体範囲を値貼付」＋「末尾2行分をすべて貼付」という同一の2段階構造であることを確認。開始行のみ拠点ごとに異なる(東京27/福岡29/倉庫37/船舶24/製造37)。構造が共通なので、開始行・終了行を拠点別変数として管理する現行方針(拠点別設定値シート)のまま統合してよいと判断。</x:t>
  </x:si>
  <x:si>
    <x:t xml:space="preserve">発注点補正・O列転記の要否</x:t>
  </x:si>
  <x:si>
    <x:t xml:space="preserve">荘田室長への確認事項（別紙：報告確認書面）の回答を得て、フラグのデフォルト値を最終確定する。
【決定】2026/7/3 荘田室長より口頭確認：発注点0かつ在庫&gt;0の場合、在庫数を発注点に書き換えるロジックは全拠点共通でよい。統合版は共通実装する。
【2026/7/15 荘田室長より書面(メール)で再確認・業務的背景を確認】発注点を割ったまま3ヶ月以上放置された品目は「在庫する意思がないもの」とみなし発注点を0に設定して管理対象から外す運用。その後まれに遅れて入庫するものがあり、これは「在庫する意思が残っていた」ものとして復活処置（入荷数＝発注点に書き換え）を行い、在庫管理サイクルに再度乗せる。7/3の口頭確認と同一結論であることを書面で再確認。
【2026/7/15 天野判断】発注点補正は9拠点共通の1本のロジック（行ループ内条件分岐、拠点別IF分岐なし）で実装するため、拠点ごとの実装有無という前提自体が旧・個別シナリオ時代のものであり汎用版には適用されない。拠点別設定値シートの発注点補正_実行列は全拠点「有」に統一し、仙台・福岡・東京・成果連絡表(色物)に付いていた「(要現物確認)」の注記は削除。個別拠点ごとの現物確認は不要と判断。</x:t>
  </x:si>
  <x:si>
    <x:t xml:space="preserve">主・副CSVの位置づけ</x:t>
  </x:si>
  <x:si>
    <x:t xml:space="preserve">シナリオではZ3934の外注在庫データをA4000へ、Z3932の倉庫在庫データをA3へ貼り付けている。統合版でも外注鉄を主拠点として扱い、倉庫データを副データセットとして取り込む設計でよいか。</x:t>
  </x:si>
  <x:si>
    <x:t xml:space="preserve">外注鉄PDFでは倉庫・製造で確認されたCOUNTIFによる発注点補正処理が明示されていない。未実装で正しいか、無効ブロック内に存在するか実物で要確認。
【決定】2026/7/3 荘田室長より口頭確認：発注点0かつ在庫&gt;0の場合、在庫数を発注点に書き換えるロジックは全拠点共通でよい。統合版は共通実装する。
【2026/7/15 天野判断】発注点補正は全拠点共通の1本のロジックに統合されたため、外注鉄個別の実装有無確認は不要と判断（行6の全体決定を参照）。</x:t>
  </x:si>
  <x:si>
    <x:t xml:space="preserve">外注鉄PDFではO列→E列転記処理を確認できない。外注鉄では不要という仕様か要確認。
【2026/7/6 荘田室長へメール確認中】塚田の想定回答：問題なし(外注鉄のO列差分はどのシートに書き加えても問題なく、各拠点共通処理化してよい)。正式回答が来るまでは暫定反映とし、拠点別設定値シートのO列転記_実行フラグを暫定「有」にする。
【2026/7/6 荘田室長 正式回答（想定通り）】問題なし、各拠点共通処理でよい。あわせて業務的な意味も判明：規定日数(多くは90日)を過ぎても在庫が動かない＝担当者に補充の意思がないとみなし、その差分値(O列)を発注点(E列)へ書き換えることで、結果的に発注点を引き下げる効果を持たせている。これは②の発注点リセット基準日数(部署別・シート単位の90日/365日等)と同じ「規定日数」概念を使っている可能性が高く、発注点0リセット機能とO列転記が同系統の仕組みである可能性がある。統合実装時に両者の関係を要整理。</x:t>
  </x:si>
  <x:si>
    <x:t xml:space="preserve">一部確認済み</x:t>
  </x:si>
  <x:si>
    <x:t xml:space="preserve">CSV終端行</x:t>
  </x:si>
  <x:si>
    <x:t xml:space="preserve">PDF記載では倉庫CSVがA1:D3953、外注CSVがA1:D365。件数が固定上限か、その時点の実データ件数かを確認し、動的最終行取得へ変更するか判断する。
【一部確認済み】2026/7/3 実物PDF再確認により、外注CSVの終端行は365ではなく2365が正(変数表を修正済み)。固定上限か都度の実データ件数かは引き続き未確認。</x:t>
  </x:si>
  <x:si>
    <x:t xml:space="preserve">色シートの共通化</x:t>
  </x:si>
  <x:si>
    <x:t xml:space="preserve">欠品（色）・在庫額（色）が外注鉄固有なのか、他拠点にも存在するが未処理なのかを確認する。</x:t>
  </x:si>
  <x:si>
    <x:t xml:space="preserve">無効ブロックの内容</x:t>
  </x:si>
  <x:si>
    <x:t xml:space="preserve">PDFでは行番号が108から151、160から189へ飛んでおり無効ブロックが折りたたまれている。休日判定・バックアップ・補正処理等が含まれていないか実シナリオで確認する。</x:t>
  </x:si>
  <x:si>
    <x:t xml:space="preserve">船舶</x:t>
  </x:si>
  <x:si>
    <x:t xml:space="preserve">発注点補正_実行 / O列転記_実行</x:t>
  </x:si>
  <x:si>
    <x:t xml:space="preserve">船舶版シナリオには倉庫・製造で確認されたCOUNTIFによる発注点補正処理、およびO列転記処理が見当たらない。有無の分かれ方が拠点の新旧では説明できないため、各拠点で本当に不要なのか、実装が漏れているだけなのかを個別に確認する必要がある。
【決定】発注点補正は全拠点共通実装に決定(2026/7/3)。O列転記の要否は引き続き未確認。
【2026/7/15 天野判断】発注点補正は全拠点共通の1本のロジックに統合されたため、船舶個別の実装有無確認は不要と判断（行6の全体決定を参照）。O列転記の要否は引き続き別件として未確認のまま。</x:t>
  </x:si>
  <x:si>
    <x:t xml:space="preserve">在庫0継続による発注点リセット（3か月/1年）</x:t>
  </x:si>
  <x:si>
    <x:t xml:space="preserve">船舶在庫帳の実データを確認したところ、商品別シートのF1セル（基準日）が部署により「=TODAY()-90」(3か月)と「=TODAY()-365」(1年)で使い分けられており、荘田室長の説明と一致する。ただし、この基準日を参照して発注点(E列)を実際に0へリセットする処理は、船舶シナリオ内には見当たらない。製造でも同種の処理は無効ブロックとして存在するのみ。意図はあるが自動化としては未実装の可能性が高く、室長に「現状リセットは動いていない可能性がある」旨を確認する必要がある。</x:t>
  </x:si>
  <x:si>
    <x:t xml:space="preserve">Y23への数式書き込み</x:t>
  </x:si>
  <x:si>
    <x:t xml:space="preserve">欠品シート処理の中でY23セルに「=COLUMN()」という数式を書き込むステップがあるが、他拠点のシナリオには同様の処理が見当たらない。用途不明のため、船舶固有の必要処理か、デバッグ等で残った不要ステップかを実物で確認する。
【2026/7/6 シナリオPDF確認】船舶在庫チェックのPDF(56行目)で、Y23セルに文字列"=COLUMN()"を書き込んでいることを確認(値としては25になるはず)。他のセルからY23を参照している形跡はPDF内には見当たらず、用途は依然として不明。</x:t>
  </x:si>
  <x:si>
    <x:t xml:space="preserve">決定済み(PDF確認により解決)</x:t>
  </x:si>
  <x:si>
    <x:t xml:space="preserve">ウィンドウ認識のUI要素差</x:t>
  </x:si>
  <x:si>
    <x:t xml:space="preserve">TIMS起動後のウィンドウタイトルに「(船舶機械部)」という拠点名が含まれ、UI要素認識・Alt+Qキー操作等のフォールバック構成が他拠点と異なる。統合シナリオではUI要素の待受け条件を拠点非依存にできるか確認が必要。
【2026/7/6 シナリオPDF確認】船舶のウィンドウ認識で使われるアプリのタイトルバーが「在庫管理システム(船舶機械部)」であることを画像から確認。他拠点は「在庫管理システム」等シンプルな表記と推測され、船舶だけ拠点名がタイトルに含まれる可能性が高い。UI要素の認識はタイトル文字列に依存するため、統合版では船舶用に個別のUI要素を用意する必要がある(技術的には対応可能な差異)。</x:t>
  </x:si>
  <x:si>
    <x:t xml:space="preserve">確認済み</x:t>
  </x:si>
  <x:si>
    <x:t xml:space="preserve">発注点リセット_部署別設定の実データ整備</x:t>
  </x:si>
  <x:si>
    <x:t xml:space="preserve">リセット日数(3か月/12か月等)を部署(シート)単位で一元管理する方針(2026/7/3決定)。現状、実データで確認できているのは製造(全9部署90日)・船舶(25部署中3部署365日、他90日)のみ。札幌・倉庫・外注鉄は未確認のため、各拠点の実ファイルを確認し「発注点リセット_部署別設定」シートに実値を展開する必要がある。
【確認済み】2026/7/3、札幌(19部署)・倉庫(20部署)・外注鉄(27部署)の実ファイルを確認し全て反映。全拠点とも基本90日(3か月)で、365日(1年)は船舶の一部部署のみ。</x:t>
  </x:si>
  <x:si>
    <x:t xml:space="preserve">F1書き込み方式の実装設計</x:t>
  </x:si>
  <x:si>
    <x:t xml:space="preserve">統合シナリオが「発注点リセット_部署別設定」の値をもとに、各シートのF1セルへ数式(例：=TODAY()-90)を書き込む処理を実装する。数式を書き込むか、計算済みの日付値を書き込むかは実装時に確定する。</x:t>
  </x:si>
  <x:si>
    <x:t xml:space="preserve">リセット日数の異常値(シート5)</x:t>
  </x:si>
  <x:si>
    <x:t xml:space="preserve">外注鉄のシート5(部署)のみ、基準日数式が"=TODAY()-50"となっており、他シートの90日/365日のいずれとも異なる。誤入力か、この部署固有の意図的な設定かを実物担当者に確認する。
【2026/7/6 天野決定】「なぜ50日なのか」の理由確認は不要とする。基準日数はシート単位で個別に管理する方式（②発注点リセット基準日数の方針と同じ）のため、シート5のみ50日のまま実装する（他シートは90日/365日等、既存の設定値をそのまま使用）。</x:t>
  </x:si>
  <x:si>
    <x:t xml:space="preserve">倉庫</x:t>
  </x:si>
  <x:si>
    <x:t xml:space="preserve">発注点差分の列位置(O列でなくN列)</x:t>
  </x:si>
  <x:si>
    <x:t xml:space="preserve">倉庫の商品別シートのみ、発注点と在庫数の差分(他拠点はO列)が"発点差"としてN列に入っている。将来O列転記等の機能を倉庫に適用する場合、参照列をN列に読み替える必要がある。</x:t>
  </x:si>
  <x:si>
    <x:t xml:space="preserve">ローカル作業ファイルのフォルダ不一致</x:t>
  </x:si>
  <x:si>
    <x:t xml:space="preserve">外注鉄在庫帳.xlsxのローカルコピーが、処理の前半では{UserDeskTopPath}\在庫帳\、後半(シート番号ループ以降)では{UserDeskTopPath}\TIMS\と異なるフォルダを参照している。中間の無効ブロック(108〜150行)でフォルダ間コピーが行われているか、実シナリオで確認する必要がある。</x:t>
  </x:si>
  <x:si>
    <x:t xml:space="preserve">プロセス終了ステップの設定</x:t>
  </x:si>
  <x:si>
    <x:t xml:space="preserve">189行目の「アプリケーション(プロセス)を終了」で、プロセス名欄にExcelファイルのフルパスが指定されている。通常はexeファイル名を指定する項目のため、設定ミスの可能性がある。実シナリオで実際の値を確認する。</x:t>
  </x:si>
  <x:si>
    <x:t xml:space="preserve">外注鉄／荘田室長</x:t>
  </x:si>
  <x:si>
    <x:t xml:space="preserve">複数CSV(主/副)構成の業務的必要性</x:t>
  </x:si>
  <x:si>
    <x:t xml:space="preserve">外注鉄はTIMSを自拠点(Z3934)と倉庫(Z3932)の2サイトコードで起動し、両方のCSVを同一バーコード貼付シートに統合している。荘田室長に以下2点を確認する。①外注鉄の在庫の一部が倉庫のTIMS管理下にも計上されているため、という理解で合っているか。②この「自拠点+倉庫」という組み合わせは外注鉄固有の事情か、外注課の他カテゴリ(色物等)や今後増える可能性のある拠点にも共通して起こりうる構図か。②がYesの場合、統合シナリオの設計自体は変更不要(既に副拠点コードを複数保持できる構造にしてある)で、該当拠点の行に値を追加するだけで対応可能。</x:t>
  </x:si>
  <x:si>
    <x:t xml:space="preserve">シートループ回数と実シート数の不一致</x:t>
  </x:si>
  <x:si>
    <x:t xml:space="preserve">仙台在庫帳.xlsxには部署シートが1〜19の19枚存在するが、シナリオの繰り返し回数指定は18回。19枚目はコード・品名・在庫数等がすべて#N/A/空欄で実質未使用データに見える。意図的な除外か、シナリオ側の設定漏れ(本来19回であるべき)かを実担当・荘田さんに確認する。
【2026/7/6 荘田室長へメール確認中】塚田の想定回答：東京と同じ「1から始まり、ループ回数は拠点ごとの変数で可変にする」という設計方針で統一してよい、とのこと。これは既に処理対象シート_開始番号/終了番号で実装済みの方式であり、仙台は19枚目が異常データのため終了番号=18のまま据え置く(東京のように実在部署が漏れているわけではない)。正式回答待ちだが、設計変更は不要と判断し暫定確定。
【2026/7/6 決定】2026/7/6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仙台はこのルールにより「19枚目は対象外としてスキップ」という現行設定(終了番号18)のままでよいことが確定した。
【2026/7/6 荘田室長 正式回答（想定通り）】OK。対象コードが無くなったシートを空回りさせるのは時間の無駄なので、ループ回数を可変にして対象外にする設計でよい。</x:t>
  </x:si>
  <x:si>
    <x:t xml:space="preserve">欠品継続時のE列(発注点)自動加算ロジック</x:t>
  </x:si>
  <x:si>
    <x:t xml:space="preserve">仙台のシナリオには、I列(欠品フラグ)=1かつH列(欠品検知日)が空欄のとき、E列(発注点)の値を+1して書き戻す処理がある(実データでも該当行を複数確認)。F/H列への日付書き込み自体は無効ブロックで停止済み。これは3.4節で決定した「発注点0リセット機能」(部署単位・F1基準日)とは別軸の、欠品が続くほど発注点を機械的に底上げする既存ロジックに見える。統合版に残すべき仕様か、廃止すべき旧ロジックかを荘田さんに確認する。</x:t>
  </x:si>
  <x:si>
    <x:t xml:space="preserve">発注点補正(COUNTIF)実装の有無</x:t>
  </x:si>
  <x:si>
    <x:t xml:space="preserve">PDF抜粋の範囲内では、倉庫・製造で確認されているCOUNTIFによる発注点自動補完処理が明示的に見当たらない。全拠点共通実装の方針(2026/7/3決定)は確定済みだが、仙台の現行シナリオに実装済みかどうかは無効ブロック内も含め実物で要確認。
【2026/7/6 シナリオPDF確認】倉庫(184行目)・製造(148行目)のPDFで、COUNTIF(E1:E500,"=0")による発注点0商品へのD列値の自動補完処理を実装確認(有効な処理として存在)。一方、東京・福岡・船舶のPDF(アップロード範囲内)には同様のCOUNTIF処理が見当たらなかった。仙台についても同様に「実装されていない可能性」を念頭に、実機で無効ブロック内も含めて確認する必要がある。少なくとも発注点補正の実装状況は拠点によって既にバラつきがあることが判明したため、統合版では拠点別設定値シートの発注点補正_実行フラグを拠点ごとに個別確認・設定する方針を維持する。</x:t>
  </x:si>
  <x:si>
    <x:t xml:space="preserve">欠品シートG列の値</x:t>
  </x:si>
  <x:si>
    <x:t xml:space="preserve">欠品シートのG列は、ヘッダー(2行目)にも各行にも固定的でない数値(拠点や商品によって異なる値)が入っており、用途不明。他拠点のO列/N列のような明確な役割が読み取れないため、実データで用途を確認する。</x:t>
  </x:si>
  <x:si>
    <x:t xml:space="preserve">決定済み(要横展開)</x:t>
  </x:si>
  <x:si>
    <x:t xml:space="preserve">仙台/福岡/東京</x:t>
  </x:si>
  <x:si>
    <x:t xml:space="preserve">CSV空白除去の実装方式差</x:t>
  </x:si>
  <x:si>
    <x:t xml:space="preserve">倉庫・製造・船舶はPowerShellで半角スペース除去しているが、仙台・福岡・東京の3拠点はCSVをExcelで開いた直後にAlt→H→F→D→R(検索と選択→置換)のキー操作を行っており、Excelの検索置換機能で同等の処理をしている可能性が高い。統合版では「CSV空白除去_実行」フラグの実装方式(PowerShell版/Excel置換版)を拠点によって分岐させる必要がある。前回仙台を「無」としていたが「有(Excel置換方式)」に訂正した。</x:t>
  </x:si>
  <x:si>
    <x:t xml:space="preserve">一部確認済み(状況証拠あり)</x:t>
  </x:si>
  <x:si>
    <x:t xml:space="preserve">CSV出力ステップが無効ブロック内にある</x:t>
  </x:si>
  <x:si>
    <x:t xml:space="preserve">東京在庫チェックPDFの3〜6行目(在庫問合せ→検索(F3)→CSV出力(O))が「無効ブロック」の中に配置されているように見える。もし実際に無効化されているなら、そもそもCSVが新規出力されず、既存の東京在庫データ.csvを使い回している可能性がある。実シナリオで有効/無効を確認する必要がある。
【状況証拠】2026/7/3、共有フォルダ確認により東京在庫データ.csvが2025/12/17から更新されていないことが判明(35行目参照)。CSV出力ステップが無効化されている可能性と整合する。</x:t>
  </x:si>
  <x:si>
    <x:t xml:space="preserve">決定済み(対応方針確定・追加確認不要)</x:t>
  </x:si>
  <x:si>
    <x:t xml:space="preserve">CSV保存パスの入力方式の違い</x:t>
  </x:si>
  <x:si>
    <x:t xml:space="preserve">他拠点はCSV出力後の保存ダイアログでファイル名のみ(例:「福岡在庫データ」)を入力しているが、東京はフルパス(C:\Users\ts226010\Desktop\在庫帳\東京在庫データ)を入力している。機能的な違いは無いと思われるが、テンプレートの世代差の可能性があり一応記録。
【2026/7/6 シナリオPDF確認】東京在庫チェックのPDFを確認したところ、他拠点(船舶・倉庫・製造・成果連絡表)が{UserDeskTopPath}変数(PowerShellでGetFolderPath('Desktop')を都度取得)を使っているのに対し、東京は全ステップでC:\Users\ts226010\Desktop\...という特定ユーザーのデスクトップパスを直接ハードコードしていることが判明。福岡はパス指定なしでファイル名のみ入力という、また別の独自方式。東京のシナリオはユーザーアカウント「ts226010」が存在する特定PC上でしか正しく動作しない可能性が高く、単なる書式の違いではなく実際の稼働可否に直結する重大な発見。サマリーシートの「東京の稼働実態確認」の優先度を上げるべき。
【2026/7/6 天野決定】荘田室長への確認は不要と判断。他拠点と同様に{UserDeskTopPath}変数（PowerShellのGetFolderPath('Desktop')でユーザー毎のデスクトップパスを都度取得）に統一することで、特定ユーザー(ts226010)固有のハードコードパス問題は解消できる。運用上はデスクトップ配下に必要フォルダを配置することで吸収する方針とし、稼働可否の懸念事項からは切り離す。本件は記録のみで確認事項としては終了。</x:t>
  </x:si>
  <x:si>
    <x:t xml:space="preserve">確認済み(仕様通り・将来対応予定)</x:t>
  </x:si>
  <x:si>
    <x:t xml:space="preserve">保存先ネットワークパスの欠落</x:t>
  </x:si>
  <x:si>
    <x:t xml:space="preserve">他拠点は処理完了後にローカル(Desktop)とネットワーク(\\192.168.0.35\...)の2箇所へ保存しているが、東京のPDF抜粋(97〜98行目)では2回ともローカルの同一パスへの保存に見え、ネットワーク保存が無い可能性がある。意図的(東京は元々ネットワーク共有していない等)か記載漏れかを確認する。
【2026/7/3 荘田さん回答】東京は現状ローカル保存が仕様通り(意図的)。近いうちに他拠点同様ネットワーク保存にも揃えたいとの意向。</x:t>
  </x:si>
  <x:si>
    <x:t xml:space="preserve">発注点リセット基準日数(部署別)が未確認</x:t>
  </x:si>
  <x:si>
    <x:t xml:space="preserve">福岡(19部署)は実ファイル未入手のため「発注点リセット_部署別設定」シートに未反映。東京は実ファイルで90日(全19部署)確認済み。福岡の実ファイル入手後に確認・追記が必要。</x:t>
  </x:si>
  <x:si>
    <x:t xml:space="preserve">CSV空白除去_実行の要否</x:t>
  </x:si>
  <x:si>
    <x:t xml:space="preserve">2026/7/3 天野判断：TIMSから落ちてくるCSVには全拠点で半角スペースが混入するため、除去処理を省くと後工程(COUNTIFによる発注点補正等の一致判定)で不具合が出る。方式は拠点により異なってよい(倉庫/製造/外注鉄/船舶=PowerShell方式、仙台/福岡/東京=Excel置換方式)が、全拠点で必ず実行する処理として統合版に組み込む。札幌は現行シナリオに同処理が存在しないため、統合版での新規実装対象。</x:t>
  </x:si>
  <x:si>
    <x:t xml:space="preserve">確認済み(業務仕様として整理・パラメータ化希望あり)</x:t>
  </x:si>
  <x:si>
    <x:t xml:space="preserve">シートループ回数と実部署数の不一致(3部署が処理対象外の疑い)</x:t>
  </x:si>
  <x:si>
    <x:t xml:space="preserve">東京在庫帳.xlsxには部署シートが1〜19の19枚あり、17・18・19番目も商品コード等が正常に入った実在部署だが、シナリオのループ回数は16回のみ。仙台の19枚目(データ異常で実質未使用)とは異なり、東京は3部署分が丸ごと発注点判定の対象から漏れている可能性が高い。誤って見落とされているだけなら業務影響が大きいため、最優先で実担当・荘田さんに確認する。
【2026/7/3 荘田さん回答】確かにシート数通りになっていないとのこと。今後はシート枚数(処理対象部署数)自体もパラメータとして管理してほしいとの要望あり。
【2026/7/6 塚田訂正】これはプログラム上のバグではなく、拠点の部署数増加にシナリオ側のループ回数設定が追随できていなかった「業務的な未整備状態」と整理する。統合版では処理対象シート_終了番号のパラメータ化により、今後は拠点の部署数変動に追従できる。</x:t>
  </x:si>
  <x:si>
    <x:t xml:space="preserve">再評価(停止の根拠は後退・要再確認)</x:t>
  </x:si>
  <x:si>
    <x:t xml:space="preserve">実ファイルの更新停滞</x:t>
  </x:si>
  <x:si>
    <x:t xml:space="preserve">2026/7/3、企画室共有フォルダ(\\192.168.0.35\disk\企画室\倉庫)のエクスプローラ画面で全ファイルの更新日時を比較。福岡・外注鉄・仙台・成果連絡表(色物)・製造(大型)・船舶・本社商品在庫日報・札幌の各在庫帳は本日(7/3)中に更新されているのに対し、東京在庫帳.xlsxのみ2026/6/11 8:35で止まっている。さらに東京在庫データ.csvは2025/12/17 10:56から半年以上更新されておらず、CSVそのものが再出力された形跡がない。29行目(CSV出力ステップが無効ブロック内にある疑い)と整合する結果であり、東京拠点のRPAシナリオは現状ほぼ確実に稼働していない。荘田さんに「東京は運用停止中/対象外なのか、動かすべきなのに動いていないのか」を確認する必要がある。
【2026/7/3 再評価】荘田さん回答により、東京がローカル保存のみである(ネットワーク共有フォルダを更新しない)仕様であることが判明。これにより、共有フォルダ上の日付が古いことを根拠とした「稼働停止濃厚」の判断は再検討が必要。CSVがネットワーク上で半年更新されていない件も同じ理由(そもそも同期されない)で説明がつき、稼働状況の直接的な証拠にはならない。実際に稼働しているかは、東京側のローカルPCを確認しない限り確定できない。稼働フラグは暫定で「有」に戻すが、直接確認が取れるまでは要注意。</x:t>
  </x:si>
  <x:si>
    <x:t xml:space="preserve">欠品継続時のE列加算ロジック</x:t>
  </x:si>
  <x:si>
    <x:t xml:space="preserve">仙台で確認したものと同一の仕組み(I列=1かつH列空欄のときE列(発注点)を+1して書き戻す)が東京の実ファイルにも存在。該当行は18件(仙台は3件)。統合版での扱いは仙台分と合わせて一括で荘田さんに確認する。</x:t>
  </x:si>
  <x:si>
    <x:t xml:space="preserve">稼働フラグのパラメータ化</x:t>
  </x:si>
  <x:si>
    <x:t xml:space="preserve">2026/7/3 天野判断：東京が実質稼働停止していることが判明したが、荘田さん確認後にすぐ再稼働できるよう、拠点別設定値シートに「稼働フラグ(有/無)」列を新設した。統合シナリオはこのフラグが「無」の拠点をスキップする設計とする。現時点で東京のみ「無」。あわせて「RPAシナリオ本体_フルパス」列も新設したが、実データは各拠点PDFには記載が無く未収集のため空欄(要収集)。</x:t>
  </x:si>
  <x:si>
    <x:t xml:space="preserve">確認済み(統合は見送り・別シナリオ継続)</x:t>
  </x:si>
  <x:si>
    <x:t xml:space="preserve">外注鉄と同系統の色物分析としてパラメータ化</x:t>
  </x:si>
  <x:si>
    <x:t xml:space="preserve">2026/7/3 天野判断：荘田さんへの正式回答はまだだが、外注鉄が内部に持つ欠品(色)/在庫額(色)処理(列挿入26/22,コピペAA→Z・W→V,処理行41-63)と、成果連絡表(色物)が行っている集計(列挿入28/30,コピペAC→AB・AE→AD,処理行41-61)は同系統・近い濃度の色物分析と判断し、拠点別設定値シートに外注鉄と同じ列構造(35〜44列)を使って仮登録した。行番号・列位置が微妙に異なる点(41-63 vs 41-61等)は正式回答後に要再確認。稼働フラグは「有」(共有フォルダで本日更新を確認済みのため)。荘田さんの回答次第でこの行の扱い(独立シナリオとして残す/外注鉄に統合する等)を確定させる。
【2026/7/3 追記・二重処理の疑い】外注鉄在庫チェックと成果連絡表チェックは、いずれもTIMSをZ3934(外注鉄)+Z3932(倉庫)の同じ2サイトコードで起動し、似た列演算(2列ずらしコピー、開始行41)で色物を集計している。同じ元データに対して同じ濃度の分析を別々のRPAが独立に(TIMS起動から)二重に行っている可能性が高い。処理終了行が外注鉄=63、成果連絡表=61で食い違う点は対象範囲の相違か単なる版差か要確認。荘田さんには位置づけの確認だけでなく「二重処理なら片方の出力から生成する形に統合できないか」まで踏み込んで聞きたい。
【2026/7/3 実ファイル比較で判明】両ファイルの色物系シート(成果連絡表「欠品」「発注点割れ」 / 外注鉄「欠品（色）」「在庫額（色）」)は「41行目=日付,42行目=目標,43行目=合計,44行目以降=カテゴリ別内訳」という全く同じグラフ設計パターンを使っている。ただし目標値が違う(成果連絡表=6.5、外注鉄(色)=5)、カテゴリの粒度が違う(成果連絡表はバルブ/ポンプ等の一般名称、外注鉄(色)は「18 ショット場部品」等の番号付き分類コード)、集計開始日もずれている。単純な二重処理というより、「外注課内部向けの細かい分類」と「成果報告向けの粗い分類」という別粒度の並行集計の可能性が高い。グラフはどちらのファイルにも存在し、外注鉄側は「外注課（色）の部品在庫切れ/在庫額」と明確なタイトルだが、成果連絡表側は「自社商品の在庫切れ/発注点割れ」という色物ファイルにしては不自然なタイトルが残っており、過去のテンプレート流用時の消し忘れの可能性がある。荘田さんへの質問は「二重処理の無駄では」ではなく「成果連絡表の粗いカテゴリは外注鉄側の細かい分類コードを集約したものか、別基準か」に修正して確認したい。
【2026/7/3 荘田さん回答】同じ系統の分析で間違いない。外注鉄の番号シート(1〜27)は、1〜5番目あたりまでが鉄物、それ以降が色物(真鍮等)の構成になっている。人間の目で見るとグラフの見え方は異なる。ただし資料の統合は現状技術的に難しいため、今後もシナリオは別のまま運用する方針。→ 統合シナリオへの吸収は見送り、現状の2シナリオ体制を維持することで確定。</x:t>
  </x:si>
  <x:si>
    <x:t xml:space="preserve">拠点別設定値へ統合・8拠点ループに含める</x:t>
  </x:si>
  <x:si>
    <x:t xml:space="preserve">2026/7/3 天野判断：荘田さん回答により統合は見送りと確定したため、「拠点別設定値」シートの拠点ループからは外し、新設した「個別管理シナリオ(拠点ループ対象外)」シートに移動した。項目自体は変数として保持し、将来統合の可能性が出た場合にも参照できるようにしてある。
【2026/7/6 天野再判断】シナリオループの実行対象かどうかと、シートを分けるかどうかは別問題と整理。TIMS CSV取得＋発注点補正等の処理内容自体は他拠点と同じ枠組みで扱えるため、人間が見て分かりやすい汎用シナリオにするには1つの表にまとめる方が良いと判断し直した。「個別管理シナリオ(拠点ループ対象外)」シートは廃止し、拠点別設定値シートの9行目(拠点コード=外注課色物)へ統合。ループ対象かどうかは新設の「拠点ループ対象」列(有/無)で判定する方式に変更。
【2026/7/6 天野訂正】「統合は見送り」は別シナリオの話との勘違いであることが判明。成果連絡表(色物)は統合するのが本来の目的であり、拠点別設定値シートの9行目(拠点コード=外注課色物)として他8拠点と同じ8(→9)拠点ループに含めて実行する。副CSV要否などの個別分岐はデータドリブン(CSVデータセット数／副CSVファイル名の有無で判定)で吸収するため、外注課色物専用の特別処理は設けない。
【2026/7/6 追記】「拠点ループ対象」列は廃止。代わりに先頭列に「処理有無」列(有/無)を新設し、テスト時の対象絞り込みや将来日付の保留パラメータ管理を兼ねる可変スイッチとして一本化した。</x:t>
  </x:si>
  <x:si>
    <x:t xml:space="preserve">処理対象シートの開始/終了番号パラメータ化</x:t>
  </x:si>
  <x:si>
    <x:t xml:space="preserve">2026/7/3 荘田さんの要望「シート枚数もパラメータになれば」を受け、従来の「シートループ回数」に加えて「処理対象シート_開始番号」「処理対象シート_終了番号」を新設(開始は全拠点1で統一、終了は現行のシートループ回数を踏襲)。東京はこれに合わせて終了番号を19に是正(荘田さん確認済み。プログラムのバグではなく、部署数の増加にシナリオ側の設定が追随できていなかった業務的な未整備状態として整理)。仙台の終了番号18(19枚目除外)は暫定のまま、要再確認事項として残す。</x:t>
  </x:si>
  <x:si>
    <x:t xml:space="preserve">ローカル保存のまま運用継続でOK</x:t>
  </x:si>
  <x:si>
    <x:t xml:space="preserve">2026/7/3 天野判断：東京はネットワーク保存への統一を待たず、ローカルフォルダ保存のままで統合シナリオの対象として問題ない。稼働フラグは「有」のまま。</x:t>
  </x:si>
  <x:si>
    <x:t xml:space="preserve">発注点リセット基準日数のシート単位管理方式（設計承認）</x:t>
  </x:si>
  <x:si>
    <x:t xml:space="preserve">2026/7/6 荘田室長へメール確認中：船舶はシート1・5・16のみ365日、残り22部署は90日という実例を示し、シート番号ごとに基準日数を変えられる変数(発注点リセット_部署別設定シート)を用意している設計で問題ないか確認。塚田の想定回答：問題なし(シートごとに変数設定可能にする)。正式回答待ちの暫定確定。
【2026/7/6 荘田室長 正式回答（想定通り）】その方が便利。入手困難な部品の仕入れリードタイムを1年に延ばす等、シート(部署)単位で基準日数を随時変えて運用していた実績あり。部署別テーブル参照方式のまま統合してよい。</x:t>
  </x:si>
  <x:si>
    <x:t xml:space="preserve">・2026/7/6 設計変更：「拠点別設定値」と「個別管理シナリオ(拠点ループ対象外)」の2シート構成は廃止し、成果連絡表(色物)を拠点別設定値シートの9行目に統合。9行とも共通の9拠点ループで実行し、表の抽出は1回のみ。副CSVの要否などの拠点固有差異は「CSVデータセット数」「副CSVファイル名」等の値の有無でデータドリブンに判定し、拠点別・個別のIF分岐は設けない設計とした。
2026/7/6 先頭列に「処理有無」列(有/無)を新設。ループ内で各行の処理要否をこの列で判定し、テスト対象の絞り込みや、削除せず保留したいパラメータ行の一時無効化に使う。</x:t>
  </x:si>
  <x:si>
    <x:t xml:space="preserve">外注鉄／成果連絡表(色物)</x:t>
  </x:si>
  <x:si>
    <x:t xml:space="preserve">日付重複(＝TODAY()の生数式と確定値)の設計理解</x:t>
  </x:si>
  <x:si>
    <x:t xml:space="preserve">2026/7/6 荘田室長へメール確認中：一番右端の列(=TODAY()の生きた数式)とその1列左(前回コピーした確定値)が常に同じ日付になるのは二重実行ではなく仕様であり、グラフの参照範囲がB〜AB(確定値側)までのため実害はない、という理解で合っているか確認。塚田の想定回答：合っている。正式回答待ちの暫定確定(設計・実装への影響なし、事実確認のみ)。
【2026/7/6 荘田室長 正式回答（想定と相違）】「設計として問題ない」という塚田の想定とは異なり、おそらくコピー時に片方の列を消し忘れただけではないかとの回答。実害がなければどちらか一方をシンプルに削除してよい、との指示。→ 統合シナリオでは、右端の生きた=TODAY()列と1列左の確定値列のどちらか一方に統一し、重複列を削除する方針とする(実装時対応)。</x:t>
  </x:si>
  <x:si>
    <x:t xml:space="preserve">コピペ形式(「すべて」→「値のみ」)の統一方針</x:t>
  </x:si>
  <x:si>
    <x:t xml:space="preserve">2026/7/6 荘田室長へメール確認中：在庫切れ・欠品(色)・在庫額(色)の3シートは「すべて」コピーのため貼付先が数式のまま残り、後で参照元(B〜W列等)が変わると過去の確定値まで変わってしまう可能性がある。在庫額シートのみ「値」コピーで正しく固定されている。ロジック的には全シート「値のみ」コピーに統一するのが安全という理解で問題ないか確認。塚田の想定回答：その仕様(値のみ統一)で問題なし。統合シナリオでは実装時に全拠点・全該当シートで貼り付け方式を「値のみ」に統一する方針とする。正式回答待ちの暫定確定。
【2026/7/6 荘田室長 正式回答（想定通り）】値のみコピーでよい。過去にはすべての列を同じように計算させることが重要だった時期があったが、その後「値」を重視する方針に変えた結果、在庫額シートのみ値コピーになったと思われる、とのこと。</x:t>
  </x:si>
  <x:si>
    <x:t xml:space="preserve">シート数とループ回数(終了番号)不一致時の挙動仕様</x:t>
  </x:si>
  <x:si>
    <x:t xml:space="preserve">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2026/7/6 塚田判断により統合シナリオの共通仕様として確定。東京のケース(終了番号&lt;実在シート数=部署数増加へのシナリオ未整備)と仙台のケース(終了番号&lt;実在シート数=意図的スキップ)の違いは、あくまで「終了番号が実在シート数より小さい」という同一パターンだが、業務的にどちらが正しいかは都度荘田さんに確認する。逆に「終了番号が実在シート数より大きい」場合(存在しないシートを処理しようとする)は無条件でエラー扱いとする。</x:t>
  </x:si>
  <x:si>
    <x:t xml:space="preserve">サブルーチンへの引数渡し方式の訂正</x:t>
  </x:si>
  <x:si>
    <x:t xml:space="preserve">2026/7/7 実機検証により訂正：従来「RK-10のサブルーチンは表そのものは引数にできない（行のみ可）」としていたが誤りであることが判明。表型の引数（例：拠点名等でフィルター済みの列加工定義表）もサブルーチンへ直接渡せることを実機確認済み。統合シナリオでは、メインシナリオ側で列加工定義表を拠点名でフィルターし、フィルター済みの表をサブルーチン「TIMSデータ取得と加工」の第3引数として渡す設計を正式採用する。</x:t>
  </x:si>
  <x:si>
    <x:t xml:space="preserve">列加工定義シートの新設（列削除・列挿入・コピー&amp;ペーストの汎用処理化）</x:t>
  </x:si>
  <x:si>
    <x:t xml:space="preserve">2026/7/7 天野決定：欠品／在庫額（および色物系統）の列削除・列挿入・コピー&amp;ペースト処理を、拠点別設定値シートの数値列から自動生成する「列加工定義（自動生成）」シートとして新設。1行＝1回のコピー&amp;ペースト操作という単位で管理し、メインシナリオがこの表を拠点名でフィルターしてサブルーチンへ渡す。拠点別設定値シートが唯一のマスタであり、列加工定義シートは数式でそこから導出される派生表という位置づけ（拠点別設定値の値を直接編集すれば自動的に反映される）。</x:t>
  </x:si>
  <x:si>
    <x:t xml:space="preserve">貼付形式の「値」統一を列加工定義シートへ反映</x:t>
  </x:si>
  <x:si>
    <x:t xml:space="preserve">44番の決定（値のみコピーに統一）を受け、列加工定義（自動生成）シートの「本体範囲」「末尾2行」の両ステップとも貼付形式を「値」で生成するよう統一した。</x:t>
  </x:si>
  <x:si>
    <x:t xml:space="preserve">シート名管理列の新設</x:t>
  </x:si>
  <x:si>
    <x:t xml:space="preserve">2026/7/7 天野決定：拠点別設定値シートにこれまで「欠品」「在庫額」等のシート名そのものを管理する列が存在しなかったため新設（欠品シート名／在庫額シート名／欠品色シート名／在庫額色シート名）。外注鉄の標準系統シート名が「在庫切れ」、成果連絡表(色物)の在庫額相当シート名が「発注点割れ」である点を明示的に管理できるようにした。</x:t>
  </x:si>
  <x:si>
    <x:t xml:space="preserve">仙台/札幌/福岡/東京</x:t>
  </x:si>
  <x:si>
    <x:t xml:space="preserve">実機PDFとの数値クロスチェック</x:t>
  </x:si>
  <x:si>
    <x:t xml:space="preserve">2026/7/8 天野確認：仙台在庫チェック_241012.pdf／札幌在庫チェック.pdf／東京在庫チェック.pdf／福岡在庫チェック.pdfの実機スクリーンショットを取得し、拠点別設定値シートの該当4行（TIMS起動引数・CSVファイル名・在庫帳ブック名・欠品/在庫額の列挿入位置・コピペ元列/先列・処理開始行/終了行・CSV範囲・シートループ回数）と1件ずつクロスチェック。全項目一致、転記漏れ・修正点なし。あわせて、在庫帳ブック・CSVのローカルパスが4拠点ともC:\Users\ts226010\Desktop\...のハードコードになっている点を新規確認（東京固有の問題ではなく4拠点共通）。個別修正はせず、{UserDeskTopPath}変数統一（44番）にまとめて含める方針とする。</x:t>
  </x:si>
  <x:si>
    <x:t xml:space="preserve">決定済み（恒久対応は保留）</x:t>
  </x:si>
  <x:si>
    <x:t xml:space="preserve">在庫帳ブック格納フォルダの二重化（TIMS/在庫帳）</x:t>
  </x:si>
  <x:si>
    <x:t xml:space="preserve">2026/7/8 天野決定：成果連絡表チェック-V1.0.pdfを確認したところ、在庫帳ブック本体（成果連絡表（色物）.xlsx）のみデスクトップの「TIMS」フォルダに格納されており、他拠点（および同シナリオのCSV自体）は「在庫帳」フォルダに統一されていた。外注鉄・成果連絡表(色物)の2拠点だけ「TIMS」フォルダを使う点は、荘田さんの指示で誰かが個別修正した際にフォルダが二重化しただけの可能性が高いとの天野所感。恒久対応としてはいずれ「在庫帳」に統一したいが、当面はシナリオ側で分岐を書かず、拠点別設定値シートに新設した「在庫帳ブックローカルフォルダ名」列（既定値：在庫帳／外注鉄・成果連絡表(色物)のみTIMS）を参照する形で吸収する。メインシナリオのファイルコピー先、サブルーチンの在庫帳ブックを開く処理とも、{UserDeskTopPath}¥{在庫帳ブックローカルフォルダ名}¥{在庫帳ブック名} の式に統一する。</x:t>
  </x:si>
  <x:si>
    <x:t xml:space="preserve">成果連絡表(色物)（他拠点の色物系統含む）</x:t>
  </x:si>
  <x:si>
    <x:t xml:space="preserve">拠点シートの加工サブルーチンの二重列挿入バグ対応</x:t>
  </x:si>
  <x:si>
    <x:t xml:space="preserve">2026/7/8 天野決定：汎用シナリオの結果ファイル（成果連絡表(色物)）と元ファイルを突き合わせたところ、「拠点シートの加工」サブルーチンが加工拠点表の行ごと（ステップ1・ステップ2）に列削除・列挿入を独立実行してしまい、1区分につき列が2本挿入される不具合を確認（片方は正しくデータが入るが、もう片方は44〜61行が空白のまま残る）。サブルーチン側では「シートが変わったか」を判定できない（1行ずつ独立して呼ばれるため）ので、列加工定義シートに新設した「列削除列挿入_要否」列（ステップ番号=1のとき「有」、それ以外「無」、数式で自動導出）をサブルーチンが参照し、「無」の行では列削除・列挿入をスキップしてペーストのみ行う設計に変更する。</x:t>
  </x:si>
  <x:si>
    <x:t xml:space="preserve">決定済み（修正実施）</x:t>
  </x:si>
  <x:si>
    <x:t xml:space="preserve">外注鉄／船舶</x:t>
  </x:si>
  <x:si>
    <x:t xml:space="preserve">在庫帳ブックローカルフォルダ名の設定値誤り</x:t>
  </x:si>
  <x:si>
    <x:t xml:space="preserve">2026/7/14 天野確認：外注鉄在庫チェック-V1.0・船舶在庫チェック-V1.0の実PDFを再確認したところ、外注鉄は全ステップ(12,36,72-73,104-105,151,153,191,238等)で{UserDeskTopPath}¥在庫帳¥、船舶は全ステップ(17,52,58,104,158-160等)で{UserDeskTopPath}¥TIMS¥を参照しており、拠点別設定値シートの値（外注鉄=TIMS／船舶=在庫帳）が実態と逆になっていたことが判明。外注鉄=在庫帳、船舶=TIMSに修正済み。要確認事項#21(外注鉄の前半/後半でフォルダが違うという記載)および#51(外注鉄・成果連絡表(色物)のみTIMSという前提)はこの誤りをもとにした記載のため、外注鉄については再確認が必要（成果連絡表(色物)側は未検証のまま）。</x:t>
  </x:si>
  <x:si>
    <x:t xml:space="preserve">決定済み（修正実施・恒久対応）</x:t>
  </x:si>
  <x:si>
    <x:t xml:space="preserve">船舶／成果連絡表(色物)</x:t>
  </x:si>
  <x:si>
    <x:t xml:space="preserve">在庫帳ブックローカルフォルダ名をTIMSから在庫帳へ統一</x:t>
  </x:si>
  <x:si>
    <x:t xml:space="preserve">2026/7/14 天野判断：要確認事項#51で保留していた恒久対応(TIMS/在庫帳の二重化解消)を実施。9拠点中7拠点が既に「在庫帳」であるため、船舶・成果連絡表(色物)も「在庫帳」に統一。汎用シナリオはメインシナリオ内でネットワーク共有の在庫帳ブックを{在庫帳ブックローカルフォルダ名}指定のローカルフォルダへ毎回上書きコピーする設計(各種TIMS在庫データシナリオ-V2.0 39行目)のため、旧TIMSフォルダに残る過去ファイルの有無に関わらず次回実行時から自動的に在庫帳フォルダで動作する。CSVもTIMSから都度新規エクスポートのため同様に依存なし。移行時の手動ファイル配置は不要と判断。</x:t>
  </x:si>
  <x:si>
    <x:t xml:space="preserve">未着手（本番切替時タスク）</x:t>
  </x:si>
  <x:si>
    <x:t xml:space="preserve">NASへの書き戻し処理の新規実装</x:t>
  </x:si>
  <x:si>
    <x:t xml:space="preserve">2026/7/14 天野確認：現行の汎用シナリオは「NAS原本→ローカルへコピー→ローカル上で処理完結」までの設計であり、処理結果をNASへ書き戻す処理は意図的に未実装（検証中はネットワークの影響を受けないための隔離が目的）。本番切替時には、保存先(ネットワーク)フルパス列の値へ結果ファイルを書き戻す処理をメインシナリオに新規追加する必要がある。</x:t>
  </x:si>
  <x:si>
    <x:t xml:space="preserve">保存先(ネットワーク)フルパス列を参照元と同一に変更</x:t>
  </x:si>
  <x:si>
    <x:t xml:space="preserve">2026/7/14 天野確認：現状の保存先(ネットワーク)フルパス列は検証用の退避フォルダ(…¥汎用在庫シナリオ用¥汎用在庫テスト結果)を指しており、本番切替時は参照元(ネットワーク)フルパスと同一の値（＝原本上書き）に書き換える。上記「NASへの書き戻し処理」の実装とセットで対応。</x:t>
  </x:si>
  <x:si>
    <x:t xml:space="preserve">書き戻し前のバックアップドライブ退避処理の新規実装</x:t>
  </x:si>
  <x:si>
    <x:t xml:space="preserve">2026/7/14 天野確認：原本上書きへの不安があるため、書き戻し直前に前日ファイルをバックアップドライブへ退避する処理を新規に設ける想定。V1.0時代の「NAS上のOLDフォルダへ退避」方式(倉庫・船舶で実装済み、製造は要確認事項#2で新規実装決定済み)とは退避先の方式が異なるため、統合版のOLDバックアップ_実行フラグの意味・実装方式を「バックアップドライブ退避」に合わせて再設計する必要がある。</x:t>
  </x:si>
  <x:si>
    <x:t xml:space="preserve">シート名(部署)</x:t>
  </x:si>
  <x:si>
    <x:t xml:space="preserve">リセット日数</x:t>
  </x:si>
  <x:si>
    <x:t xml:space="preserve">基準数式(参考)</x:t>
  </x:si>
  <x:si>
    <x:t xml:space="preserve">確認状況</x:t>
  </x:si>
  <x:si>
    <x:t xml:space="preserve">1</x:t>
  </x:si>
  <x:si>
    <x:t xml:space="preserve">TODAY()-90日 相当</x:t>
  </x:si>
  <x:si>
    <x:t xml:space="preserve">実ファイルで確認(2026/7/3)</x:t>
  </x:si>
  <x:si>
    <x:t xml:space="preserve">2</x:t>
  </x:si>
  <x:si>
    <x:t xml:space="preserve">3</x:t>
  </x:si>
  <x:si>
    <x:t xml:space="preserve">4</x:t>
  </x:si>
  <x:si>
    <x:t xml:space="preserve">5</x:t>
  </x:si>
  <x:si>
    <x:t xml:space="preserve">6</x:t>
  </x:si>
  <x:si>
    <x:t xml:space="preserve">7</x:t>
  </x:si>
  <x:si>
    <x:t xml:space="preserve">8</x:t>
  </x:si>
  <x:si>
    <x:t xml:space="preserve">9</x:t>
  </x:si>
  <x:si>
    <x:t xml:space="preserve">TODAY()-365日 相当</x:t>
  </x:si>
  <x:si>
    <x:t xml:space="preserve">10</x:t>
  </x:si>
  <x:si>
    <x:t xml:space="preserve">11</x:t>
  </x:si>
  <x:si>
    <x:t xml:space="preserve">12</x:t>
  </x:si>
  <x:si>
    <x:t xml:space="preserve">13</x:t>
  </x:si>
  <x:si>
    <x:t xml:space="preserve">14</x:t>
  </x:si>
  <x:si>
    <x:t xml:space="preserve">15</x:t>
  </x:si>
  <x:si>
    <x:t xml:space="preserve">16</x:t>
  </x:si>
  <x:si>
    <x:t xml:space="preserve">17</x:t>
  </x:si>
  <x:si>
    <x:t xml:space="preserve">18</x:t>
  </x:si>
  <x:si>
    <x:t xml:space="preserve">19</x:t>
  </x:si>
  <x:si>
    <x:t xml:space="preserve">20</x:t>
  </x:si>
  <x:si>
    <x:t xml:space="preserve">21</x:t>
  </x:si>
  <x:si>
    <x:t xml:space="preserve">22</x:t>
  </x:si>
  <x:si>
    <x:t xml:space="preserve">23</x:t>
  </x:si>
  <x:si>
    <x:t xml:space="preserve">24</x:t>
  </x:si>
  <x:si>
    <x:t xml:space="preserve">25</x:t>
  </x:si>
  <x:si>
    <x:t xml:space="preserve">実ファイルで確認(2026/7/3)。なお倉庫のみ発注点差分の列がO列でなくN列("発点差")である点に注意</x:t>
  </x:si>
  <x:si>
    <x:t xml:space="preserve">TODAY()-50日 相当</x:t>
  </x:si>
  <x:si>
    <x:t xml:space="preserve">実ファイルで確認(2026/8/5)</x:t>
  </x:si>
  <x:si>
    <x:t xml:space="preserve">26</x:t>
  </x:si>
  <x:si>
    <x:t xml:space="preserve">27</x:t>
  </x:si>
  <x:si>
    <x:t xml:space="preserve">実ファイルで確認(2026/7/3)。全19シートともF1が数式=TODAY()-90で統一(計算済み日付ではなく数式のまま保持されている実例)。</x:t>
  </x:si>
  <x:si>
    <x:t xml:space="preserve">確認済み(要確認)</x:t>
  </x:si>
  <x:si>
    <x:t xml:space="preserve">実ファイルで確認(2026/7/3)。F1式自体は他と同じ=TODAY()-90だが、シート19はコード/品名等がすべて異常値(#N/A等)で実質未使用の可能性。かつRPAシナリオ側のループ回数は18回のみで19番目のシートはそもそも処理対象外になっている。バグか意図的な除外か要確認。</x:t>
  </x:si>
  <x:si>
    <x:t xml:space="preserve">実ファイルで確認(2026/7/3)。F1は=TODAY()-90で統一。</x:t>
  </x:si>
  <x:si>
    <x:t xml:space="preserve">実ファイルで確認(2026/7/3)。F1式自体は他部署と同じ=TODAY()-90で、データも正常に入っているが、RPAシナリオのループ回数は16回までのため、この部署(17〜19)はシナリオの処理対象外になっている可能性が高い。</x:t>
  </x:si>
  <x:si>
    <x:t xml:space="preserve">単価シート名</x:t>
  </x:si>
  <x:si>
    <x:t xml:space="preserve">G列復元</x:t>
  </x:si>
  <x:si>
    <x:t xml:space="preserve">I列復元</x:t>
  </x:si>
  <x:si>
    <x:t xml:space="preserve">J列復元</x:t>
  </x:si>
  <x:si>
    <x:t xml:space="preserve">K列復元</x:t>
  </x:si>
  <x:si>
    <x:t xml:space="preserve">O列復元</x:t>
  </x:si>
  <x:si>
    <x:t xml:space="preserve">全国単価</x:t>
  </x:si>
  <x:si>
    <x:t xml:space="preserve">全国単価シートを参照</x:t>
  </x:si>
  <x:si>
    <x:t xml:space="preserve">倉庫単価表</x:t>
  </x:si>
  <x:si>
    <x:t xml:space="preserve">本社専用単価表</x:t>
  </x:si>
  <x:si>
    <x:t xml:space="preserve">単価211019</x:t>
  </x:si>
  <x:si>
    <x:t xml:space="preserve">製造はK列在庫額なし</x:t>
  </x:si>
  <x:si>
    <x:t xml:space="preserve">外注単価</x:t>
  </x:si>
  <x:si>
    <x:t xml:space="preserve">外注単価シートを参照</x:t>
  </x:si>
  <x:si>
    <x:t xml:space="preserve">船舶単価</x:t>
  </x:si>
  <x:si>
    <x:t xml:space="preserve">船舶専用単価表</x:t>
  </x:si>
  <x:si>
    <x:t xml:space="preserve">仙台単価</x:t>
  </x:si>
  <x:si>
    <x:t xml:space="preserve">仙台専用単価表</x:t>
  </x:si>
  <x:si>
    <x:t xml:space="preserve">福岡単価</x:t>
  </x:si>
  <x:si>
    <x:t xml:space="preserve">福岡専用単価表</x:t>
  </x:si>
  <x:si>
    <x:t xml:space="preserve">東京単価</x:t>
  </x:si>
  <x:si>
    <x:t xml:space="preserve">東京専用単価表</x:t>
  </x:si>
  <x:si>
    <x:t xml:space="preserve">単価管理対象外</x:t>
  </x:si>
</x:sst>
</file>

<file path=xl/styles.xml><?xml version="1.0" encoding="utf-8"?>
<x:styleSheet xmlns:x="http://schemas.openxmlformats.org/spreadsheetml/2006/main">
  <x:fonts count="23">
    <x:font>
      <x:sz val="11"/>
      <x:color theme="1"/>
      <x:name val="ＭＳ Ｐゴシック"/>
    </x:font>
    <x:font>
      <x:b/>
      <x:sz val="14"/>
      <x:name val="Noto Sans CJK SC"/>
    </x:font>
    <x:font>
      <x:sz val="11"/>
      <x:color theme="1"/>
      <x:name val="Noto Sans CJK SC"/>
    </x:font>
    <x:font>
      <x:b/>
      <x:sz val="11"/>
      <x:name val="Noto Sans CJK SC"/>
    </x:font>
    <x:font>
      <x:b/>
      <x:sz val="11"/>
      <x:color rgb="FFFFFFFF"/>
      <x:name val="Noto Sans CJK SC"/>
    </x:font>
    <x:font>
      <x:b/>
      <x:sz val="11"/>
      <x:name val="ＭＳ Ｐゴシック"/>
    </x:font>
    <x:font>
      <x:b/>
      <x:sz val="13"/>
      <x:name val="Noto Sans CJK SC"/>
    </x:font>
    <x:font>
      <x:b/>
      <x:sz val="11"/>
      <x:color rgb="FFFFFFFF"/>
      <x:name val="游ゴシック"/>
    </x:font>
    <x:font>
      <x:b/>
      <x:sz val="11"/>
      <x:color theme="0"/>
      <x:name val="ＭＳ Ｐゴシック"/>
    </x:font>
    <x:font>
      <x:b/>
      <x:sz val="11"/>
      <x:color theme="0"/>
      <x:name val="Noto Sans CJK SC"/>
    </x:font>
    <x:font>
      <x:sz val="10"/>
      <x:name val="Noto Sans CJK SC"/>
    </x:font>
    <x:font>
      <x:sz val="10"/>
      <x:name val="游ゴシック"/>
    </x:font>
    <x:font>
      <x:sz val="11"/>
      <x:name val="Noto Sans CJK SC"/>
    </x:font>
    <x:font>
      <x:sz val="10"/>
      <x:color rgb="FF000000"/>
      <x:name val="Noto Sans CJK SC"/>
    </x:font>
    <x:font>
      <x:sz val="10"/>
      <x:color rgb="FF000000"/>
      <x:name val="游ゴシック"/>
    </x:font>
    <x:font>
      <x:sz val="11"/>
      <x:name val="游ゴシック"/>
    </x:font>
    <x:font>
      <x:b/>
      <x:sz val="10"/>
      <x:name val="Noto Sans CJK SC"/>
    </x:font>
    <x:font>
      <x:sz val="10"/>
      <x:color theme="1"/>
      <x:name val="Noto Sans CJK SC"/>
    </x:font>
    <x:font>
      <x:sz val="10"/>
      <x:color theme="1"/>
      <x:name val="游ゴシック"/>
    </x:font>
    <x:font>
      <x:sz val="10"/>
      <x:name val="ＭＳ ゴシック"/>
    </x:font>
    <x:font>
      <x:sz val="10"/>
      <x:name val="Noto Sans CJK SC"/>
    </x:font>
    <x:font>
      <x:sz val="10"/>
      <x:color rgb="FF008000"/>
      <x:name val="游ゴシック"/>
    </x:font>
    <x:font>
      <x:sz val="6"/>
      <x:name val="ＭＳ Ｐゴシック"/>
    </x:font>
  </x:fonts>
  <x:fills count="12">
    <x:fill>
      <x:patternFill patternType="none"/>
    </x:fill>
    <x:fill>
      <x:patternFill patternType="gray125"/>
    </x:fill>
    <x:fill>
      <x:patternFill patternType="solid">
        <x:fgColor rgb="FF4472C4"/>
      </x:patternFill>
    </x:fill>
    <x:fill>
      <x:patternFill patternType="solid">
        <x:fgColor rgb="FFD9E1F2"/>
      </x:patternFill>
    </x:fill>
    <x:fill>
      <x:patternFill patternType="solid">
        <x:fgColor rgb="FF305496"/>
      </x:patternFill>
    </x:fill>
    <x:fill>
      <x:patternFill patternType="solid">
        <x:fgColor theme="4" tint="-0.24998"/>
      </x:patternFill>
    </x:fill>
    <x:fill>
      <x:patternFill patternType="solid">
        <x:fgColor rgb="FFFCE4E4"/>
      </x:patternFill>
    </x:fill>
    <x:fill>
      <x:patternFill patternType="solid">
        <x:fgColor rgb="FFE2EFDA"/>
      </x:patternFill>
    </x:fill>
    <x:fill>
      <x:patternFill patternType="solid">
        <x:fgColor rgb="FFFCE4D6"/>
      </x:patternFill>
    </x:fill>
    <x:fill>
      <x:patternFill patternType="solid">
        <x:fgColor rgb="FFFFF2CC"/>
      </x:patternFill>
    </x:fill>
    <x:fill>
      <x:patternFill patternType="solid">
        <x:fgColor rgb="FFF2F2F2"/>
      </x:patternFill>
    </x:fill>
    <x:fill>
      <x:patternFill patternType="solid">
        <x:fgColor rgb="FFD9EAD3"/>
      </x:patternFill>
    </x:fill>
  </x:fills>
  <x:borders count="14">
    <x:border/>
    <x:border>
      <x:left style="thin">
        <x:color rgb="FFCCCCCC"/>
      </x:left>
      <x:right style="thin">
        <x:color rgb="FFCCCCCC"/>
      </x:right>
      <x:top style="thin">
        <x:color rgb="FFCCCCCC"/>
      </x:top>
      <x:bottom style="thin">
        <x:color rgb="FFCCCCCC"/>
      </x:bottom>
    </x:border>
    <x:border>
      <x:bottom style="thin">
        <x:color rgb="FFBFBFBF"/>
      </x:bottom>
    </x:border>
    <x:border>
      <x:bottom style="thin">
        <x:color auto="1"/>
      </x:bottom>
    </x:border>
    <x:border>
      <x:left style="thin">
        <x:color rgb="FFBFBFBF"/>
      </x:left>
      <x:right style="thin">
        <x:color rgb="FFBFBFBF"/>
      </x:right>
      <x:top style="thin">
        <x:color rgb="FFBFBFBF"/>
      </x:top>
    </x:border>
    <x:border>
      <x:left style="thin">
        <x:color rgb="FFBFBFBF"/>
      </x:left>
      <x:top style="thin">
        <x:color rgb="FFBFBFBF"/>
      </x:top>
    </x:border>
    <x:border>
      <x:left style="thin">
        <x:color auto="1"/>
      </x:left>
      <x:right style="thin">
        <x:color auto="1"/>
      </x:right>
      <x:top style="thin">
        <x:color auto="1"/>
      </x:top>
      <x:bottom style="thin">
        <x:color auto="1"/>
      </x:bottom>
    </x:border>
    <x:border>
      <x:right style="thin">
        <x:color rgb="FFBFBFBF"/>
      </x:right>
      <x:top style="thin">
        <x:color rgb="FFBFBFBF"/>
      </x:top>
      <x:bottom style="thin">
        <x:color rgb="FFBFBFBF"/>
      </x:bottom>
    </x:border>
    <x:border>
      <x:left style="thin">
        <x:color rgb="FFBFBFBF"/>
      </x:left>
      <x:right style="thin">
        <x:color rgb="FFBFBFBF"/>
      </x:right>
      <x:top style="thin">
        <x:color rgb="FFBFBFBF"/>
      </x:top>
      <x:bottom style="thin">
        <x:color rgb="FFBFBFBF"/>
      </x:bottom>
    </x:border>
    <x:border>
      <x:left style="thin">
        <x:color auto="1"/>
      </x:left>
      <x:top style="thin">
        <x:color auto="1"/>
      </x:top>
      <x:bottom style="thin">
        <x:color auto="1"/>
      </x:bottom>
    </x:border>
    <x:border>
      <x:left style="thin">
        <x:color theme="0" tint="-0.15"/>
      </x:left>
      <x:right style="thin">
        <x:color theme="0" tint="-0.15"/>
      </x:right>
      <x:top style="thin">
        <x:color theme="0" tint="-0.15"/>
      </x:top>
      <x:bottom style="thin">
        <x:color theme="0" tint="-0.15"/>
      </x:bottom>
    </x:border>
    <x:border>
      <x:left style="thin">
        <x:color rgb="FFBFBFBF"/>
      </x:left>
      <x:right style="thin">
        <x:color rgb="FFBFBFBF"/>
      </x:right>
      <x:bottom style="thin">
        <x:color rgb="FFBFBFBF"/>
      </x:bottom>
    </x:border>
    <x:border>
      <x:left style="thin">
        <x:color rgb="FFBFBFBF"/>
      </x:left>
      <x:right style="thin">
        <x:color rgb="FFBFBFBF"/>
      </x:right>
    </x:border>
    <x:border>
      <x:left style="thin">
        <x:color rgb="FF808080"/>
      </x:left>
      <x:right style="thin">
        <x:color rgb="FF808080"/>
      </x:right>
      <x:top style="thin">
        <x:color rgb="FF808080"/>
      </x:top>
      <x:bottom style="thin">
        <x:color rgb="FF808080"/>
      </x:bottom>
    </x:border>
  </x:borders>
  <x:cellStyleXfs count="1">
    <x:xf numFmtId="0" fontId="0" fillId="0" borderId="0"/>
  </x:cellStyleXfs>
  <x:cellXfs count="103">
    <x:xf numFmtId="0" fontId="0" fillId="0" borderId="0" xfId="0"/>
    <x:xf numFmtId="0" fontId="2" fillId="0" borderId="0" xfId="0" applyFont="1" applyAlignment="1">
      <x:alignment vertical="top" wrapText="1"/>
    </x:xf>
    <x:xf numFmtId="0" fontId="3" fillId="0" borderId="0" xfId="0" applyFont="1"/>
    <x:xf numFmtId="0" fontId="0" fillId="0" borderId="2" xfId="0" applyBorder="1"/>
    <x:xf numFmtId="0" fontId="2" fillId="0" borderId="0" xfId="0" applyFont="1"/>
    <x:xf numFmtId="0" fontId="4" fillId="2" borderId="1" xfId="0" applyFont="1" applyFill="1" applyBorder="1" applyAlignment="1">
      <x:alignment horizontal="center"/>
    </x:xf>
    <x:xf numFmtId="0" fontId="0" fillId="0" borderId="1" xfId="0" applyBorder="1" applyAlignment="1">
      <x:alignment vertical="top" wrapText="1"/>
    </x:xf>
    <x:xf numFmtId="0" fontId="2" fillId="0" borderId="1" xfId="0" applyFont="1" applyBorder="1" applyAlignment="1">
      <x:alignment vertical="top" wrapText="1"/>
    </x:xf>
    <x:xf numFmtId="0" fontId="5" fillId="0" borderId="0" xfId="0" applyFont="1"/>
    <x:xf numFmtId="0" fontId="2" fillId="0" borderId="0" xfId="0" applyFont="1" applyAlignment="1">
      <x:alignment wrapText="1"/>
    </x:xf>
    <x:xf numFmtId="0" fontId="3" fillId="3" borderId="2" xfId="0" applyFont="1" applyFill="1" applyBorder="1" applyAlignment="1">
      <x:alignment horizontal="left" vertical="center"/>
    </x:xf>
    <x:xf numFmtId="0" fontId="4" fillId="4" borderId="4" xfId="0" applyFont="1" applyFill="1" applyBorder="1" applyAlignment="1">
      <x:alignment horizontal="center" vertical="center" wrapText="1"/>
    </x:xf>
    <x:xf numFmtId="0" fontId="7" fillId="4" borderId="4" xfId="0" applyFont="1" applyFill="1" applyBorder="1" applyAlignment="1">
      <x:alignment horizontal="center" vertical="center" wrapText="1"/>
    </x:xf>
    <x:xf numFmtId="0" fontId="4" fillId="4" borderId="5" xfId="0" applyFont="1" applyFill="1" applyBorder="1" applyAlignment="1">
      <x:alignment horizontal="center" vertical="center" wrapText="1"/>
    </x:xf>
    <x:xf numFmtId="0" fontId="8" fillId="5" borderId="6" xfId="0" applyFont="1" applyFill="1" applyBorder="1" applyAlignment="1">
      <x:alignment vertical="center" wrapText="1"/>
    </x:xf>
    <x:xf numFmtId="0" fontId="9" fillId="5" borderId="6" xfId="0" applyFont="1" applyFill="1" applyBorder="1" applyAlignment="1">
      <x:alignment vertical="center" wrapText="1"/>
    </x:xf>
    <x:xf numFmtId="0" fontId="4" fillId="4" borderId="7" xfId="0" applyFont="1" applyFill="1" applyBorder="1" applyAlignment="1">
      <x:alignment horizontal="center" vertical="center" wrapText="1"/>
    </x:xf>
    <x:xf numFmtId="0" fontId="4" fillId="4" borderId="8" xfId="0" applyFont="1" applyFill="1" applyBorder="1" applyAlignment="1">
      <x:alignment horizontal="center" vertical="center" wrapText="1"/>
    </x:xf>
    <x:xf numFmtId="0" fontId="7" fillId="4" borderId="7" xfId="0" applyFont="1" applyFill="1" applyBorder="1" applyAlignment="1">
      <x:alignment horizontal="center" vertical="center" wrapText="1"/>
    </x:xf>
    <x:xf numFmtId="0" fontId="4" fillId="4" borderId="6" xfId="0" applyFont="1" applyFill="1" applyBorder="1" applyAlignment="1">
      <x:alignment horizontal="center" vertical="center" wrapText="1"/>
    </x:xf>
    <x:xf numFmtId="0" fontId="10" fillId="0" borderId="6" xfId="0" applyFont="1" applyBorder="1" applyAlignment="1">
      <x:alignment horizontal="center" vertical="center" wrapText="1"/>
    </x:xf>
    <x:xf numFmtId="0" fontId="11" fillId="0" borderId="6" xfId="0" applyFont="1" applyBorder="1" applyAlignment="1">
      <x:alignment horizontal="center" vertical="center" wrapText="1"/>
    </x:xf>
    <x:xf numFmtId="0" fontId="11" fillId="0" borderId="6" xfId="0" applyFont="1" applyBorder="1" applyAlignment="1">
      <x:alignment horizontal="left" vertical="center" wrapText="1"/>
    </x:xf>
    <x:xf numFmtId="0" fontId="11" fillId="0" borderId="9" xfId="0" applyFont="1" applyBorder="1" applyAlignment="1">
      <x:alignment horizontal="center" vertical="center" wrapText="1"/>
    </x:xf>
    <x:xf numFmtId="0" fontId="0" fillId="0" borderId="6" xfId="0" applyBorder="1" applyAlignment="1">
      <x:alignment wrapText="1"/>
    </x:xf>
    <x:xf numFmtId="0" fontId="12" fillId="8" borderId="6" xfId="0" applyFont="1" applyFill="1" applyBorder="1" applyAlignment="1">
      <x:alignment horizontal="center"/>
    </x:xf>
    <x:xf numFmtId="0" fontId="11" fillId="0" borderId="6" xfId="0" applyFont="1" applyBorder="1" applyAlignment="1">
      <x:alignment horizontal="center" wrapText="1"/>
    </x:xf>
    <x:xf numFmtId="0" fontId="11" fillId="0" borderId="6" xfId="0" applyFont="1" applyBorder="1" applyAlignment="1">
      <x:alignment horizontal="left" wrapText="1"/>
    </x:xf>
    <x:xf numFmtId="0" fontId="11" fillId="0" borderId="9" xfId="0" applyFont="1" applyBorder="1" applyAlignment="1">
      <x:alignment horizontal="center" wrapText="1"/>
    </x:xf>
    <x:xf numFmtId="0" fontId="2" fillId="0" borderId="6" xfId="0" applyFont="1" applyBorder="1" applyAlignment="1">
      <x:alignment wrapText="1"/>
    </x:xf>
    <x:xf numFmtId="0" fontId="0" fillId="10" borderId="6" xfId="0" applyFill="1" applyBorder="1" applyAlignment="1">
      <x:alignment wrapText="1"/>
    </x:xf>
    <x:xf numFmtId="0" fontId="0" fillId="0" borderId="6" xfId="0" applyBorder="1" applyAlignment="1">
      <x:alignment vertical="center" wrapText="1"/>
    </x:xf>
    <x:xf numFmtId="0" fontId="2" fillId="0" borderId="6" xfId="0" applyFont="1" applyBorder="1" applyAlignment="1">
      <x:alignment vertical="center" wrapText="1"/>
    </x:xf>
    <x:xf numFmtId="0" fontId="0" fillId="0" borderId="0" xfId="0" applyAlignment="1">
      <x:alignment vertical="center"/>
    </x:xf>
    <x:xf numFmtId="0" fontId="12" fillId="0" borderId="6" xfId="0" applyFont="1" applyBorder="1"/>
    <x:xf numFmtId="0" fontId="12" fillId="11" borderId="6" xfId="0" applyFont="1" applyFill="1" applyBorder="1"/>
    <x:xf numFmtId="0" fontId="13" fillId="0" borderId="8" xfId="0" applyFont="1" applyBorder="1" applyAlignment="1">
      <x:alignment horizontal="left" vertical="center"/>
    </x:xf>
    <x:xf numFmtId="0" fontId="14" fillId="0" borderId="8" xfId="0" applyFont="1" applyBorder="1" applyAlignment="1">
      <x:alignment horizontal="left" vertical="center" wrapText="1"/>
    </x:xf>
    <x:xf numFmtId="0" fontId="13" fillId="0" borderId="8" xfId="0" applyFont="1" applyBorder="1" applyAlignment="1">
      <x:alignment horizontal="left" vertical="center" wrapText="1"/>
    </x:xf>
    <x:xf numFmtId="0" fontId="14" fillId="0" borderId="8" xfId="0" applyFont="1" applyBorder="1" applyAlignment="1">
      <x:alignment horizontal="left" vertical="center"/>
    </x:xf>
    <x:xf numFmtId="0" fontId="13" fillId="0" borderId="4" xfId="0" applyFont="1" applyBorder="1" applyAlignment="1">
      <x:alignment horizontal="left" vertical="center"/>
    </x:xf>
    <x:xf numFmtId="0" fontId="13" fillId="0" borderId="4" xfId="0" applyFont="1" applyBorder="1" applyAlignment="1">
      <x:alignment horizontal="left" vertical="center" wrapText="1"/>
    </x:xf>
    <x:xf numFmtId="0" fontId="14" fillId="0" borderId="4" xfId="0" applyFont="1" applyBorder="1" applyAlignment="1">
      <x:alignment horizontal="left" vertical="center" wrapText="1"/>
    </x:xf>
    <x:xf numFmtId="0" fontId="2" fillId="0" borderId="10" xfId="0" applyFont="1" applyBorder="1" applyAlignment="1">
      <x:alignment wrapText="1"/>
    </x:xf>
    <x:xf numFmtId="0" fontId="0" fillId="0" borderId="10" xfId="0" applyBorder="1" applyAlignment="1">
      <x:alignment wrapText="1"/>
    </x:xf>
    <x:xf numFmtId="0" fontId="11" fillId="0" borderId="11" xfId="0" applyFont="1" applyBorder="1" applyAlignment="1">
      <x:alignment horizontal="left" vertical="center" wrapText="1"/>
    </x:xf>
    <x:xf numFmtId="0" fontId="11" fillId="0" borderId="8" xfId="0" applyFont="1" applyBorder="1" applyAlignment="1">
      <x:alignment horizontal="left" vertical="center"/>
    </x:xf>
    <x:xf numFmtId="0" fontId="13" fillId="0" borderId="0" xfId="0" applyFont="1" applyAlignment="1">
      <x:alignment horizontal="center" vertical="center"/>
    </x:xf>
    <x:xf numFmtId="0" fontId="13" fillId="0" borderId="0" xfId="0" applyFont="1" applyAlignment="1">
      <x:alignment horizontal="left" vertical="center"/>
    </x:xf>
    <x:xf numFmtId="0" fontId="13" fillId="0" borderId="0" xfId="0" applyFont="1" applyAlignment="1">
      <x:alignment horizontal="left" vertical="center" wrapText="1"/>
    </x:xf>
    <x:xf numFmtId="0" fontId="14" fillId="0" borderId="0" xfId="0" applyFont="1" applyAlignment="1">
      <x:alignment horizontal="left" vertical="center" wrapText="1"/>
    </x:xf>
    <x:xf numFmtId="0" fontId="14" fillId="0" borderId="0" xfId="0" applyFont="1" applyAlignment="1">
      <x:alignment horizontal="left" vertical="center"/>
    </x:xf>
    <x:xf numFmtId="0" fontId="3" fillId="0" borderId="6" xfId="0" applyFont="1" applyBorder="1" applyAlignment="1">
      <x:alignment vertical="top" wrapText="1"/>
    </x:xf>
    <x:xf numFmtId="0" fontId="12" fillId="0" borderId="6" xfId="0" applyFont="1" applyBorder="1" applyAlignment="1">
      <x:alignment vertical="top" wrapText="1"/>
    </x:xf>
    <x:xf numFmtId="0" fontId="15" fillId="0" borderId="6" xfId="0" applyFont="1" applyBorder="1" applyAlignment="1">
      <x:alignment vertical="top" wrapText="1"/>
    </x:xf>
    <x:xf numFmtId="0" fontId="4" fillId="4" borderId="8" xfId="0" applyFont="1" applyFill="1" applyBorder="1" applyAlignment="1">
      <x:alignment horizontal="center" vertical="center"/>
    </x:xf>
    <x:xf numFmtId="0" fontId="16" fillId="9" borderId="8" xfId="0" applyFont="1" applyFill="1" applyBorder="1" applyAlignment="1">
      <x:alignment horizontal="center" vertical="center"/>
    </x:xf>
    <x:xf numFmtId="0" fontId="13" fillId="0" borderId="8" xfId="0" applyFont="1" applyBorder="1" applyAlignment="1">
      <x:alignment horizontal="center" vertical="center" wrapText="1"/>
    </x:xf>
    <x:xf numFmtId="0" fontId="16" fillId="7" borderId="8" xfId="0" applyFont="1" applyFill="1" applyBorder="1" applyAlignment="1">
      <x:alignment horizontal="center" vertical="center"/>
    </x:xf>
    <x:xf numFmtId="0" fontId="2" fillId="0" borderId="8" xfId="0" applyFont="1" applyBorder="1" applyAlignment="1">
      <x:alignment wrapText="1"/>
    </x:xf>
    <x:xf numFmtId="0" fontId="17" fillId="0" borderId="8" xfId="0" applyFont="1" applyBorder="1" applyAlignment="1">
      <x:alignment wrapText="1"/>
    </x:xf>
    <x:xf numFmtId="0" fontId="0" fillId="0" borderId="8" xfId="0" applyBorder="1" applyAlignment="1">
      <x:alignment wrapText="1"/>
    </x:xf>
    <x:xf numFmtId="0" fontId="18" fillId="0" borderId="8" xfId="0" applyFont="1" applyBorder="1" applyAlignment="1">
      <x:alignment wrapText="1"/>
    </x:xf>
    <x:xf numFmtId="0" fontId="11" fillId="0" borderId="8" xfId="0" applyFont="1" applyBorder="1" applyAlignment="1">
      <x:alignment horizontal="left" vertical="center" wrapText="1"/>
    </x:xf>
    <x:xf numFmtId="0" fontId="16" fillId="9" borderId="8" xfId="0" applyFont="1" applyFill="1" applyBorder="1" applyAlignment="1">
      <x:alignment horizontal="center" vertical="center" wrapText="1"/>
    </x:xf>
    <x:xf numFmtId="0" fontId="11" fillId="0" borderId="8" xfId="0" applyFont="1" applyBorder="1" applyAlignment="1">
      <x:alignment horizontal="center" vertical="center"/>
    </x:xf>
    <x:xf numFmtId="0" fontId="0" fillId="0" borderId="6" xfId="0" applyBorder="1"/>
    <x:xf numFmtId="0" fontId="19" fillId="6" borderId="6" xfId="0" applyFont="1" applyFill="1" applyBorder="1" applyAlignment="1">
      <x:alignment horizontal="center" vertical="center" wrapText="1"/>
    </x:xf>
    <x:xf numFmtId="0" fontId="20" fillId="0" borderId="6" xfId="0" applyFont="1" applyBorder="1" applyAlignment="1">
      <x:alignment horizontal="center" wrapText="1"/>
    </x:xf>
    <x:xf numFmtId="0" fontId="4" fillId="4" borderId="13" xfId="0" applyFont="1" applyFill="1" applyBorder="1" applyAlignment="1">
      <x:alignment horizontal="center" vertical="center" wrapText="1"/>
    </x:xf>
    <x:xf numFmtId="0" fontId="11" fillId="0" borderId="13" xfId="0" applyFont="1" applyBorder="1" applyAlignment="1">
      <x:alignment horizontal="center" vertical="center" wrapText="1"/>
    </x:xf>
    <x:xf numFmtId="0" fontId="21" fillId="0" borderId="13" xfId="0" applyFont="1" applyBorder="1" applyAlignment="1">
      <x:alignment horizontal="left" vertical="center" wrapText="1"/>
    </x:xf>
    <x:xf numFmtId="0" fontId="10" fillId="0" borderId="6" xfId="0" applyFont="1" applyBorder="1" applyAlignment="1">
      <x:alignment horizontal="left" vertical="center" wrapText="1"/>
    </x:xf>
    <x:xf numFmtId="0" fontId="10" fillId="6" borderId="6" xfId="0" applyFont="1" applyFill="1" applyBorder="1" applyAlignment="1">
      <x:alignment horizontal="center" vertical="center" wrapText="1"/>
    </x:xf>
    <x:xf numFmtId="0" fontId="10" fillId="7" borderId="6" xfId="0" applyFont="1" applyFill="1" applyBorder="1" applyAlignment="1">
      <x:alignment horizontal="center" vertical="center" wrapText="1"/>
    </x:xf>
    <x:xf numFmtId="0" fontId="10" fillId="7" borderId="7" xfId="0" applyFont="1" applyFill="1" applyBorder="1" applyAlignment="1">
      <x:alignment horizontal="center" vertical="center" wrapText="1"/>
    </x:xf>
    <x:xf numFmtId="0" fontId="10" fillId="0" borderId="8" xfId="0" applyFont="1" applyBorder="1" applyAlignment="1">
      <x:alignment horizontal="left" vertical="center" wrapText="1"/>
    </x:xf>
    <x:xf numFmtId="0" fontId="10" fillId="9" borderId="6" xfId="0" applyFont="1" applyFill="1" applyBorder="1" applyAlignment="1">
      <x:alignment horizontal="center" vertical="center" wrapText="1"/>
    </x:xf>
    <x:xf numFmtId="0" fontId="10" fillId="0" borderId="6" xfId="0" applyFont="1" applyBorder="1" applyAlignment="1">
      <x:alignment horizontal="left" wrapText="1"/>
    </x:xf>
    <x:xf numFmtId="0" fontId="10" fillId="0" borderId="6" xfId="0" applyFont="1" applyBorder="1" applyAlignment="1">
      <x:alignment horizontal="center" wrapText="1"/>
    </x:xf>
    <x:xf numFmtId="0" fontId="10" fillId="0" borderId="11" xfId="0" applyFont="1" applyBorder="1" applyAlignment="1">
      <x:alignment horizontal="left" vertical="center"/>
    </x:xf>
    <x:xf numFmtId="0" fontId="10" fillId="0" borderId="11" xfId="0" applyFont="1" applyBorder="1" applyAlignment="1">
      <x:alignment horizontal="left" vertical="center" wrapText="1"/>
    </x:xf>
    <x:xf numFmtId="0" fontId="10" fillId="0" borderId="8" xfId="0" applyFont="1" applyBorder="1" applyAlignment="1">
      <x:alignment horizontal="left" vertical="center"/>
    </x:xf>
    <x:xf numFmtId="0" fontId="10" fillId="0" borderId="8" xfId="0" applyFont="1" applyBorder="1" applyAlignment="1">
      <x:alignment horizontal="center" vertical="center" wrapText="1"/>
    </x:xf>
    <x:xf numFmtId="0" fontId="10" fillId="7" borderId="8" xfId="0" applyFont="1" applyFill="1" applyBorder="1" applyAlignment="1">
      <x:alignment horizontal="center" vertical="center" wrapText="1"/>
    </x:xf>
    <x:xf numFmtId="0" fontId="10" fillId="9" borderId="8" xfId="0" applyFont="1" applyFill="1" applyBorder="1" applyAlignment="1">
      <x:alignment horizontal="center" vertical="center" wrapText="1"/>
    </x:xf>
    <x:xf numFmtId="0" fontId="2" fillId="0" borderId="6" xfId="0" applyFont="1" applyBorder="1"/>
    <x:xf numFmtId="0" fontId="10" fillId="7" borderId="8" xfId="0" applyFont="1" applyFill="1" applyBorder="1" applyAlignment="1">
      <x:alignment horizontal="left" vertical="center"/>
    </x:xf>
    <x:xf numFmtId="0" fontId="10" fillId="0" borderId="13" xfId="0" applyFont="1" applyBorder="1" applyAlignment="1">
      <x:alignment horizontal="left" vertical="center" wrapText="1"/>
    </x:xf>
    <x:xf numFmtId="0" fontId="10" fillId="7" borderId="13" xfId="0" applyFont="1" applyFill="1" applyBorder="1" applyAlignment="1">
      <x:alignment horizontal="center" vertical="center" wrapText="1"/>
    </x:xf>
    <x:xf numFmtId="0" fontId="10" fillId="0" borderId="13" xfId="0" applyFont="1" applyBorder="1" applyAlignment="1">
      <x:alignment horizontal="center" vertical="center" wrapText="1"/>
    </x:xf>
    <x:xf numFmtId="0" fontId="6" fillId="0" borderId="0" xfId="0" applyFont="1" applyAlignment="1">
      <x:alignment horizontal="center" vertical="center" wrapText="1"/>
    </x:xf>
    <x:xf numFmtId="0" fontId="0" fillId="0" borderId="0" xfId="0"/>
    <x:xf numFmtId="0" fontId="0" fillId="0" borderId="2" xfId="0" applyBorder="1"/>
    <x:xf numFmtId="0" fontId="0" fillId="0" borderId="3" xfId="0" applyBorder="1"/>
    <x:xf numFmtId="0" fontId="3" fillId="3" borderId="2" xfId="0" applyFont="1" applyFill="1" applyBorder="1" applyAlignment="1">
      <x:alignment horizontal="left" vertical="center" wrapText="1"/>
    </x:xf>
    <x:xf numFmtId="0" fontId="2" fillId="0" borderId="0" xfId="0" applyFont="1" applyAlignment="1">
      <x:alignment vertical="top" wrapText="1"/>
    </x:xf>
    <x:xf numFmtId="0" fontId="1" fillId="0" borderId="0" xfId="0" applyFont="1"/>
    <x:xf numFmtId="0" fontId="3" fillId="0" borderId="0" xfId="0" applyFont="1"/>
    <x:xf numFmtId="0" fontId="13" fillId="0" borderId="8" xfId="0" applyFont="1" applyBorder="1" applyAlignment="1">
      <x:alignment horizontal="center" vertical="center"/>
    </x:xf>
    <x:xf numFmtId="0" fontId="0" fillId="0" borderId="11" xfId="0" applyBorder="1"/>
    <x:xf numFmtId="0" fontId="0" fillId="0" borderId="12" xfId="0" applyBorder="1"/>
    <x:xf numFmtId="0" fontId="14" fillId="0" borderId="8" xfId="0" applyFont="1" applyBorder="1" applyAlignment="1">
      <x:alignment horizontal="center" vertical="center"/>
    </x:xf>
  </x:cellXfs>
  <x:cellStyles count="1">
    <x:cellStyle name="標準" xfId="0"/>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E2EFDA"/>
      <x:rgbColor rgb="FF660066"/>
      <x:rgbColor rgb="FFFF8080"/>
      <x:rgbColor rgb="FF0066CC"/>
      <x:rgbColor rgb="FFCCCCCC"/>
      <x:rgbColor rgb="FF000080"/>
      <x:rgbColor rgb="FFFF00FF"/>
      <x:rgbColor rgb="FFFFFF00"/>
      <x:rgbColor rgb="FF00FFFF"/>
      <x:rgbColor rgb="FF800080"/>
      <x:rgbColor rgb="FF800000"/>
      <x:rgbColor rgb="FF008080"/>
      <x:rgbColor rgb="FF0000FF"/>
      <x:rgbColor rgb="FF00CCFF"/>
      <x:rgbColor rgb="FFF2F2F2"/>
      <x:rgbColor rgb="FFD9EAD3"/>
      <x:rgbColor rgb="FFFCE4E4"/>
      <x:rgbColor rgb="FFD9D9D9"/>
      <x:rgbColor rgb="FFFF99CC"/>
      <x:rgbColor rgb="FFD9E1F2"/>
      <x:rgbColor rgb="FFFCE4D6"/>
      <x:rgbColor rgb="FF4472C4"/>
      <x:rgbColor rgb="FF33CCCC"/>
      <x:rgbColor rgb="FF99CC00"/>
      <x:rgbColor rgb="FFFFCC00"/>
      <x:rgbColor rgb="FFFF9900"/>
      <x:rgbColor rgb="FFFF6600"/>
      <x:rgbColor rgb="FF376092"/>
      <x:rgbColor rgb="FF969696"/>
      <x:rgbColor rgb="FF003366"/>
      <x:rgbColor rgb="FF339966"/>
      <x:rgbColor rgb="FF003300"/>
      <x:rgbColor rgb="FF333300"/>
      <x:rgbColor rgb="FF993300"/>
      <x:rgbColor rgb="FF993366"/>
      <x:rgbColor rgb="FF305496"/>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361deefc2174063" /><Relationship Type="http://schemas.openxmlformats.org/officeDocument/2006/relationships/theme" Target="/xl/theme/theme1.xml" Id="R1da3a97dcf1c4f86" /><Relationship Type="http://schemas.openxmlformats.org/officeDocument/2006/relationships/sharedStrings" Target="/xl/sharedStrings.xml" Id="R0771f9daae404e9a" /><Relationship Type="http://schemas.openxmlformats.org/officeDocument/2006/relationships/worksheet" Target="/xl/worksheets/sheet1.xml" Id="R9f3845a0973249e6" /><Relationship Type="http://schemas.openxmlformats.org/officeDocument/2006/relationships/worksheet" Target="/xl/worksheets/sheet2.xml" Id="Re914074afd3c46e2" /><Relationship Type="http://schemas.openxmlformats.org/officeDocument/2006/relationships/worksheet" Target="/xl/worksheets/sheet3.xml" Id="Rb1e196d6c9bf43cb" /><Relationship Type="http://schemas.openxmlformats.org/officeDocument/2006/relationships/worksheet" Target="/xl/worksheets/sheet4.xml" Id="R34c341bc9e814e7f" /><Relationship Type="http://schemas.openxmlformats.org/officeDocument/2006/relationships/worksheet" Target="/xl/worksheets/sheet5.xml" Id="R4224fe240e844d10" /><Relationship Type="http://schemas.openxmlformats.org/officeDocument/2006/relationships/worksheet" Target="/xl/worksheets/sheet6.xml" Id="Rd2cd0727641b49ee" /><Relationship Type="http://schemas.openxmlformats.org/officeDocument/2006/relationships/worksheet" Target="/xl/worksheets/sheet7.xml" Id="R13f5d913411146dd"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375" defaultRowHeight="13.5"/>
  <x:cols>
    <x:col min="1" max="1" width="16" customWidth="1"/>
    <x:col min="2" max="2" width="22" customWidth="1"/>
    <x:col min="3" max="3" width="30" customWidth="1"/>
    <x:col min="4" max="4" width="14" customWidth="1"/>
    <x:col min="5" max="5" width="20" customWidth="1"/>
    <x:col min="6" max="6" width="40" customWidth="1"/>
  </x:cols>
  <x:sheetData>
    <x:row r="1" ht="17.25" customHeight="1">
      <x:c r="A1" s="97" t="s">
        <x:v>0</x:v>
      </x:c>
      <x:c r="B1" s="92"/>
      <x:c r="C1" s="92"/>
      <x:c r="D1" s="92"/>
      <x:c r="E1" s="92"/>
      <x:c r="F1" s="92"/>
    </x:row>
    <x:row r="2" ht="14.25" customHeight="1">
      <x:c r="A2" s="4" t="s">
        <x:v>1</x:v>
      </x:c>
    </x:row>
    <x:row r="4" ht="15" customHeight="1">
      <x:c r="A4" s="2" t="s">
        <x:v>2</x:v>
      </x:c>
    </x:row>
    <x:row r="5" ht="15" customHeight="1">
      <x:c r="A5" s="5" t="s">
        <x:v>3</x:v>
      </x:c>
      <x:c r="B5" s="5" t="s">
        <x:v>4</x:v>
      </x:c>
      <x:c r="C5" s="5" t="s">
        <x:v>5</x:v>
      </x:c>
      <x:c r="D5" s="5" t="s">
        <x:v>6</x:v>
      </x:c>
      <x:c r="E5" s="5" t="s">
        <x:v>7</x:v>
      </x:c>
    </x:row>
    <x:row r="6" ht="14.25" customHeight="1">
      <x:c r="A6" s="6" t="s">
        <x:v>8</x:v>
      </x:c>
      <x:c r="B6" s="7" t="s">
        <x:v>9</x:v>
      </x:c>
      <x:c r="C6" s="7" t="s">
        <x:v>10</x:v>
      </x:c>
      <x:c r="D6" s="6" t="s">
        <x:v>11</x:v>
      </x:c>
      <x:c r="E6" s="7" t="s">
        <x:v>12</x:v>
      </x:c>
    </x:row>
    <x:row r="7" ht="14.25" customHeight="1">
      <x:c r="A7" s="6" t="s">
        <x:v>13</x:v>
      </x:c>
      <x:c r="B7" s="7" t="s">
        <x:v>14</x:v>
      </x:c>
      <x:c r="C7" s="7" t="s">
        <x:v>10</x:v>
      </x:c>
      <x:c r="D7" s="6" t="s">
        <x:v>15</x:v>
      </x:c>
      <x:c r="E7" s="7" t="s">
        <x:v>12</x:v>
      </x:c>
    </x:row>
    <x:row r="8" ht="14.25" customHeight="1">
      <x:c r="A8" s="6" t="s">
        <x:v>16</x:v>
      </x:c>
      <x:c r="B8" s="7" t="s">
        <x:v>17</x:v>
      </x:c>
      <x:c r="C8" s="7" t="s">
        <x:v>10</x:v>
      </x:c>
      <x:c r="D8" s="6" t="s">
        <x:v>18</x:v>
      </x:c>
      <x:c r="E8" s="7" t="s">
        <x:v>12</x:v>
      </x:c>
    </x:row>
    <x:row r="9" ht="14.25" customHeight="1">
      <x:c r="A9" s="6" t="s">
        <x:v>19</x:v>
      </x:c>
      <x:c r="B9" s="7" t="s">
        <x:v>20</x:v>
      </x:c>
      <x:c r="C9" s="7" t="s">
        <x:v>10</x:v>
      </x:c>
      <x:c r="D9" s="6" t="s">
        <x:v>21</x:v>
      </x:c>
      <x:c r="E9" s="7" t="s">
        <x:v>12</x:v>
      </x:c>
    </x:row>
    <x:row r="10" ht="14.25" customHeight="1">
      <x:c r="A10" s="6" t="s">
        <x:v>22</x:v>
      </x:c>
      <x:c r="B10" s="7" t="s">
        <x:v>23</x:v>
      </x:c>
      <x:c r="C10" s="7" t="s">
        <x:v>10</x:v>
      </x:c>
      <x:c r="D10" s="6" t="s">
        <x:v>24</x:v>
      </x:c>
      <x:c r="E10" s="7" t="s">
        <x:v>12</x:v>
      </x:c>
    </x:row>
    <x:row r="11" ht="27" customHeight="1">
      <x:c r="A11" s="6" t="s">
        <x:v>25</x:v>
      </x:c>
      <x:c r="B11" s="7" t="s">
        <x:v>26</x:v>
      </x:c>
      <x:c r="C11" s="7" t="s">
        <x:v>10</x:v>
      </x:c>
      <x:c r="D11" s="6" t="s">
        <x:v>27</x:v>
      </x:c>
      <x:c r="E11" s="7" t="s">
        <x:v>12</x:v>
      </x:c>
    </x:row>
    <x:row r="12" ht="14.25" customHeight="1">
      <x:c r="A12" s="6" t="s">
        <x:v>28</x:v>
      </x:c>
      <x:c r="B12" s="7" t="s">
        <x:v>29</x:v>
      </x:c>
      <x:c r="C12" s="7" t="s">
        <x:v>10</x:v>
      </x:c>
      <x:c r="D12" s="6" t="s">
        <x:v>11</x:v>
      </x:c>
      <x:c r="E12" s="7" t="s">
        <x:v>30</x:v>
      </x:c>
    </x:row>
    <x:row r="13" ht="27" customHeight="1">
      <x:c r="A13" s="6" t="s">
        <x:v>31</x:v>
      </x:c>
      <x:c r="B13" s="7" t="s">
        <x:v>32</x:v>
      </x:c>
      <x:c r="C13" s="7" t="s">
        <x:v>10</x:v>
      </x:c>
      <x:c r="D13" s="6" t="s">
        <x:v>11</x:v>
      </x:c>
      <x:c r="E13" s="7" t="s">
        <x:v>12</x:v>
      </x:c>
    </x:row>
    <x:row r="14" ht="27" customHeight="1">
      <x:c r="A14" s="6" t="s">
        <x:v>19</x:v>
      </x:c>
      <x:c r="B14" s="7" t="s">
        <x:v>33</x:v>
      </x:c>
      <x:c r="C14" s="7" t="s">
        <x:v>34</x:v>
      </x:c>
      <x:c r="D14" s="6" t="s">
        <x:v>27</x:v>
      </x:c>
      <x:c r="E14" s="7" t="s">
        <x:v>35</x:v>
      </x:c>
    </x:row>
    <x:row r="15" ht="15" customHeight="1">
      <x:c r="A15" s="8" t="s">
        <x:v>36</x:v>
      </x:c>
    </x:row>
    <x:row r="16" ht="409.5" customHeight="1">
      <x:c r="A16" s="9" t="s">
        <x:v>37</x:v>
      </x:c>
    </x:row>
    <x:row r="18" ht="15" customHeight="1">
      <x:c r="A18" s="2" t="s">
        <x:v>38</x:v>
      </x:c>
    </x:row>
    <x:row r="19" ht="14.25" customHeight="1">
      <x:c r="A19" s="4" t="s">
        <x:v>39</x:v>
      </x:c>
      <x:c r="B19" t="s">
        <x:v>40</x:v>
      </x:c>
    </x:row>
    <x:row r="20" ht="14.25" customHeight="1">
      <x:c r="A20" s="4" t="s">
        <x:v>41</x:v>
      </x:c>
      <x:c r="B20" t="s">
        <x:v>42</x:v>
      </x:c>
    </x:row>
    <x:row r="21" ht="14.25" customHeight="1">
      <x:c r="A21" s="4" t="s">
        <x:v>43</x:v>
      </x:c>
      <x:c r="B21" t="s">
        <x:v>44</x:v>
      </x:c>
    </x:row>
    <x:row r="22" ht="14.25" customHeight="1">
      <x:c r="A22" s="4" t="s">
        <x:v>45</x:v>
      </x:c>
      <x:c r="B22" t="s">
        <x:v>46</x:v>
      </x:c>
    </x:row>
    <x:row r="23" ht="14.25" customHeight="1">
      <x:c r="A23" s="4" t="s">
        <x:v>47</x:v>
      </x:c>
      <x:c r="B23" t="s">
        <x:v>48</x:v>
      </x:c>
    </x:row>
    <x:row r="25" ht="15" customHeight="1">
      <x:c r="A25" s="98" t="s">
        <x:v>49</x:v>
      </x:c>
      <x:c r="B25" s="92"/>
      <x:c r="C25" s="92"/>
      <x:c r="D25" s="92"/>
      <x:c r="E25" s="92"/>
      <x:c r="F25" s="92"/>
    </x:row>
    <x:row r="26" ht="16.5" customHeight="1">
      <x:c r="A26" s="96" t="s">
        <x:v>50</x:v>
      </x:c>
      <x:c r="B26" s="92"/>
      <x:c r="C26" s="92"/>
      <x:c r="D26" s="92"/>
      <x:c r="E26" s="92"/>
      <x:c r="F26" s="92"/>
    </x:row>
    <x:row r="27" ht="48" customHeight="1">
      <x:c r="A27" s="96" t="s">
        <x:v>51</x:v>
      </x:c>
      <x:c r="B27" s="92"/>
      <x:c r="C27" s="92"/>
      <x:c r="D27" s="92"/>
      <x:c r="E27" s="92"/>
      <x:c r="F27" s="92"/>
    </x:row>
    <x:row r="28" ht="16.5" customHeight="1">
      <x:c r="A28" s="96" t="s">
        <x:v>52</x:v>
      </x:c>
      <x:c r="B28" s="92"/>
      <x:c r="C28" s="92"/>
      <x:c r="D28" s="92"/>
      <x:c r="E28" s="92"/>
      <x:c r="F28" s="92"/>
    </x:row>
    <x:row r="29" ht="175.5" customHeight="1">
      <x:c r="A29" s="1" t="s">
        <x:v>53</x:v>
      </x:c>
    </x:row>
    <x:row r="31" ht="15" customHeight="1">
      <x:c r="A31" s="8" t="s">
        <x:v>54</x:v>
      </x:c>
    </x:row>
    <x:row r="32" ht="135" customHeight="1">
      <x:c r="A32" s="1" t="s">
        <x:v>55</x:v>
      </x:c>
    </x:row>
    <x:row r="33" ht="121.5" customHeight="1">
      <x:c r="A33" s="1" t="s">
        <x:v>56</x:v>
      </x:c>
    </x:row>
    <x:row r="34" ht="202.5" customHeight="1">
      <x:c r="A34" s="1" t="s">
        <x:v>57</x:v>
      </x:c>
    </x:row>
    <x:row r="35" ht="135" customHeight="1">
      <x:c r="A35" s="1" t="s">
        <x:v>58</x:v>
      </x:c>
    </x:row>
    <x:row r="36" ht="67.5" customHeight="1">
      <x:c r="A36" s="1" t="s">
        <x:v>59</x:v>
      </x:c>
    </x:row>
    <x:row r="37" ht="108" customHeight="1">
      <x:c r="A37" s="1" t="s">
        <x:v>60</x:v>
      </x:c>
    </x:row>
    <x:row r="39" ht="14.25" customHeight="1">
      <x:c r="A39" s="4" t="s">
        <x:v>61</x:v>
      </x:c>
    </x:row>
    <x:row r="40" ht="14.25" customHeight="1">
      <x:c r="A40" s="4" t="s">
        <x:v>62</x:v>
      </x:c>
    </x:row>
    <x:row r="41" ht="14.25" customHeight="1">
      <x:c r="A41" s="4" t="s">
        <x:v>63</x:v>
      </x:c>
    </x:row>
    <x:row r="42" ht="14.25" customHeight="1">
      <x:c r="A42" s="4" t="s">
        <x:v>64</x:v>
      </x:c>
    </x:row>
    <x:row r="43" ht="14.25" customHeight="1">
      <x:c r="A43" s="4" t="s">
        <x:v>65</x:v>
      </x:c>
    </x:row>
    <x:row r="45" ht="14.25" customHeight="1">
      <x:c r="A45" s="4" t="s">
        <x:v>66</x:v>
      </x:c>
    </x:row>
    <x:row r="46" ht="14.25" customHeight="1">
      <x:c r="A46" t="s">
        <x:v>67</x:v>
      </x:c>
    </x:row>
    <x:row r="47" ht="14.25" customHeight="1">
      <x:c r="A47" s="4" t="s">
        <x:v>68</x:v>
      </x:c>
    </x:row>
    <x:row r="48" ht="14.25" customHeight="1">
      <x:c r="A48" t="s">
        <x:v>69</x:v>
      </x:c>
    </x:row>
  </x:sheetData>
  <x:mergeCells>
    <x:mergeCell ref="A28:F28"/>
    <x:mergeCell ref="A1:F1"/>
    <x:mergeCell ref="A27:F27"/>
    <x:mergeCell ref="A26:F26"/>
    <x:mergeCell ref="A25:F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375" defaultRowHeight="13.5"/>
  <x:cols>
    <x:col min="1" max="1" width="8.875" customWidth="1"/>
    <x:col min="2" max="2" width="13.375" customWidth="1"/>
    <x:col min="3" max="3" width="13.25" customWidth="1"/>
    <x:col min="4" max="4" width="16" customWidth="1"/>
    <x:col min="5" max="5" width="20" customWidth="1"/>
    <x:col min="6" max="6" width="22" customWidth="1"/>
    <x:col min="7" max="7" width="48.375" customWidth="1"/>
    <x:col min="8" max="8" width="27.75" customWidth="1"/>
    <x:col min="9" max="9" width="21.375" customWidth="1"/>
    <x:col min="10" max="22" width="10" customWidth="1"/>
    <x:col min="23" max="23" width="12" customWidth="1"/>
    <x:col min="24" max="24" width="14" customWidth="1"/>
    <x:col min="25" max="25" width="12" customWidth="1"/>
    <x:col min="26" max="27" width="10" customWidth="1"/>
    <x:col min="28" max="28" width="12" customWidth="1"/>
    <x:col min="29" max="29" width="22" customWidth="1"/>
    <x:col min="30" max="30" width="17.375" customWidth="1"/>
    <x:col min="31" max="31" width="16" customWidth="1"/>
    <x:col min="32" max="33" width="22" customWidth="1"/>
    <x:col min="34" max="34" width="18.625" customWidth="1"/>
    <x:col min="35" max="35" width="19.25" customWidth="1"/>
    <x:col min="36" max="49" width="16" customWidth="1"/>
    <x:col min="55" max="58" width="14" customWidth="1"/>
    <x:col min="59" max="59" width="13" customWidth="1"/>
  </x:cols>
  <x:sheetData>
    <x:row r="1" ht="22.5" customHeight="1">
      <x:c r="A1" s="91" t="s">
        <x:v>70</x:v>
      </x:c>
      <x:c r="B1" s="92"/>
      <x:c r="C1" s="92"/>
      <x:c r="D1" s="92"/>
      <x:c r="E1" s="92"/>
      <x:c r="F1" s="92"/>
      <x:c r="G1" s="92"/>
    </x:row>
    <x:row r="2" ht="27" customHeight="1">
      <x:c r="A2" s="95" t="s">
        <x:v>71</x:v>
      </x:c>
      <x:c r="B2" s="93"/>
      <x:c r="C2" s="93"/>
      <x:c r="D2" s="93"/>
      <x:c r="E2" s="93"/>
      <x:c r="F2" s="93"/>
      <x:c r="G2" s="93"/>
      <x:c r="H2" s="93"/>
      <x:c r="I2" s="93"/>
      <x:c r="J2" s="93"/>
      <x:c r="K2" s="93"/>
      <x:c r="L2" s="93"/>
      <x:c r="M2" s="93"/>
      <x:c r="N2" s="93"/>
      <x:c r="O2" s="93"/>
      <x:c r="P2" s="93"/>
      <x:c r="Q2" s="93"/>
      <x:c r="R2" s="93"/>
      <x:c r="S2" s="93"/>
      <x:c r="T2" s="93"/>
      <x:c r="U2" s="93"/>
      <x:c r="V2" s="93"/>
      <x:c r="W2" s="93"/>
      <x:c r="X2" s="93"/>
      <x:c r="Y2" s="93"/>
      <x:c r="Z2" s="93"/>
      <x:c r="AA2" s="93"/>
      <x:c r="AB2" s="93"/>
      <x:c r="AC2" s="93"/>
      <x:c r="AD2" s="93"/>
      <x:c r="AE2" s="93"/>
      <x:c r="AF2" s="93"/>
      <x:c r="AG2" s="93"/>
      <x:c r="AH2" s="93"/>
      <x:c r="AI2" s="93"/>
      <x:c r="AJ2" s="93"/>
      <x:c r="AK2" s="94"/>
      <x:c r="AL2" s="94"/>
      <x:c r="AM2" s="94"/>
      <x:c r="AN2" s="94"/>
      <x:c r="AO2" s="94"/>
      <x:c r="AP2" s="94"/>
      <x:c r="AQ2" s="94"/>
      <x:c r="AR2" s="94"/>
      <x:c r="AS2" s="94"/>
      <x:c r="AT2" s="94"/>
      <x:c r="AU2" s="94"/>
      <x:c r="AV2" s="94"/>
      <x:c r="AW2" s="94"/>
      <x:c r="AX2" s="3"/>
      <x:c r="AY2" s="10" t="s">
        <x:v>72</x:v>
      </x:c>
      <x:c r="AZ2" s="10"/>
      <x:c r="BA2" s="10" t="s">
        <x:v>73</x:v>
      </x:c>
      <x:c r="BB2" s="10"/>
      <x:c r="BG2" s="4" t="s">
        <x:v>74</x:v>
      </x:c>
    </x:row>
    <x:row r="3" ht="36.75" customHeight="1">
      <x:c r="A3" s="11" t="s">
        <x:v>75</x:v>
      </x:c>
      <x:c r="B3" s="11" t="s">
        <x:v>76</x:v>
      </x:c>
      <x:c r="C3" s="11" t="s">
        <x:v>3</x:v>
      </x:c>
      <x:c r="D3" s="11" t="s">
        <x:v>4</x:v>
      </x:c>
      <x:c r="E3" s="12" t="s">
        <x:v>77</x:v>
      </x:c>
      <x:c r="F3" s="12" t="s">
        <x:v>78</x:v>
      </x:c>
      <x:c r="G3" s="11" t="s">
        <x:v>79</x:v>
      </x:c>
      <x:c r="H3" s="11" t="s">
        <x:v>80</x:v>
      </x:c>
      <x:c r="I3" s="11" t="s">
        <x:v>81</x:v>
      </x:c>
      <x:c r="J3" s="11" t="s">
        <x:v>82</x:v>
      </x:c>
      <x:c r="K3" s="11" t="s">
        <x:v>83</x:v>
      </x:c>
      <x:c r="L3" s="11" t="s">
        <x:v>84</x:v>
      </x:c>
      <x:c r="M3" s="11" t="s">
        <x:v>85</x:v>
      </x:c>
      <x:c r="N3" s="11" t="s">
        <x:v>86</x:v>
      </x:c>
      <x:c r="O3" s="11" t="s">
        <x:v>87</x:v>
      </x:c>
      <x:c r="P3" s="11" t="s">
        <x:v>88</x:v>
      </x:c>
      <x:c r="Q3" s="11" t="s">
        <x:v>89</x:v>
      </x:c>
      <x:c r="R3" s="11" t="s">
        <x:v>90</x:v>
      </x:c>
      <x:c r="S3" s="11" t="s">
        <x:v>91</x:v>
      </x:c>
      <x:c r="T3" s="12" t="s">
        <x:v>92</x:v>
      </x:c>
      <x:c r="U3" s="12" t="s">
        <x:v>93</x:v>
      </x:c>
      <x:c r="V3" s="11" t="s">
        <x:v>94</x:v>
      </x:c>
      <x:c r="W3" s="11" t="s">
        <x:v>95</x:v>
      </x:c>
      <x:c r="X3" s="11" t="s">
        <x:v>96</x:v>
      </x:c>
      <x:c r="Y3" s="12" t="s">
        <x:v>97</x:v>
      </x:c>
      <x:c r="Z3" s="12" t="s">
        <x:v>98</x:v>
      </x:c>
      <x:c r="AA3" s="11" t="s">
        <x:v>99</x:v>
      </x:c>
      <x:c r="AB3" s="12" t="s">
        <x:v>100</x:v>
      </x:c>
      <x:c r="AC3" s="11" t="s">
        <x:v>101</x:v>
      </x:c>
      <x:c r="AD3" s="13" t="s">
        <x:v>102</x:v>
      </x:c>
      <x:c r="AE3" s="14" t="s">
        <x:v>103</x:v>
      </x:c>
      <x:c r="AF3" s="15" t="s">
        <x:v>104</x:v>
      </x:c>
      <x:c r="AG3" s="15" t="s">
        <x:v>105</x:v>
      </x:c>
      <x:c r="AH3" s="15" t="s">
        <x:v>106</x:v>
      </x:c>
      <x:c r="AI3" s="15" t="s">
        <x:v>107</x:v>
      </x:c>
      <x:c r="AJ3" s="15" t="s">
        <x:v>108</x:v>
      </x:c>
      <x:c r="AK3" s="15" t="s">
        <x:v>109</x:v>
      </x:c>
      <x:c r="AL3" s="15" t="s">
        <x:v>110</x:v>
      </x:c>
      <x:c r="AM3" s="15" t="s">
        <x:v>111</x:v>
      </x:c>
      <x:c r="AN3" s="15" t="s">
        <x:v>112</x:v>
      </x:c>
      <x:c r="AO3" s="15" t="s">
        <x:v>113</x:v>
      </x:c>
      <x:c r="AP3" s="15" t="s">
        <x:v>114</x:v>
      </x:c>
      <x:c r="AQ3" s="15" t="s">
        <x:v>115</x:v>
      </x:c>
      <x:c r="AR3" s="15" t="s">
        <x:v>116</x:v>
      </x:c>
      <x:c r="AS3" s="15" t="s">
        <x:v>117</x:v>
      </x:c>
      <x:c r="AT3" s="15" t="s">
        <x:v>118</x:v>
      </x:c>
      <x:c r="AU3" s="15" t="s">
        <x:v>119</x:v>
      </x:c>
      <x:c r="AV3" s="16" t="s">
        <x:v>120</x:v>
      </x:c>
      <x:c r="AW3" s="17" t="s">
        <x:v>121</x:v>
      </x:c>
      <x:c r="AX3" s="17" t="s">
        <x:v>122</x:v>
      </x:c>
      <x:c r="AY3" s="16" t="s">
        <x:v>5</x:v>
      </x:c>
      <x:c r="AZ3" s="18" t="s">
        <x:v>123</x:v>
      </x:c>
      <x:c r="BA3" s="16" t="s">
        <x:v>124</x:v>
      </x:c>
      <x:c r="BB3" s="16" t="s">
        <x:v>125</x:v>
      </x:c>
      <x:c r="BC3" s="19" t="s">
        <x:v>126</x:v>
      </x:c>
      <x:c r="BD3" s="19" t="s">
        <x:v>127</x:v>
      </x:c>
      <x:c r="BE3" s="19" t="s">
        <x:v>128</x:v>
      </x:c>
      <x:c r="BF3" s="19" t="s">
        <x:v>129</x:v>
      </x:c>
      <x:c r="BG3" s="19" t="s">
        <x:v>130</x:v>
      </x:c>
    </x:row>
    <x:row r="4" ht="30" customHeight="1">
      <x:c r="A4" s="20" t="s">
        <x:v>10</x:v>
      </x:c>
      <x:c r="B4" s="21"/>
      <x:c r="C4" s="21" t="s">
        <x:v>8</x:v>
      </x:c>
      <x:c r="D4" s="72" t="s">
        <x:v>9</x:v>
      </x:c>
      <x:c r="E4" s="22" t="s">
        <x:v>131</x:v>
      </x:c>
      <x:c r="F4" s="72" t="s">
        <x:v>132</x:v>
      </x:c>
      <x:c r="G4" s="72" t="s">
        <x:v>133</x:v>
      </x:c>
      <x:c r="H4" s="22" t="s">
        <x:v>134</x:v>
      </x:c>
      <x:c r="I4" s="22" t="s">
        <x:v>135</x:v>
      </x:c>
      <x:c r="J4" s="20">
        <x:v>23</x:v>
      </x:c>
      <x:c r="K4" s="21" t="s">
        <x:v>136</x:v>
      </x:c>
      <x:c r="L4" s="21" t="s">
        <x:v>137</x:v>
      </x:c>
      <x:c r="M4" s="20">
        <x:v>27</x:v>
      </x:c>
      <x:c r="N4" s="20">
        <x:v>48</x:v>
      </x:c>
      <x:c r="O4" s="20">
        <x:v>21</x:v>
      </x:c>
      <x:c r="P4" s="21" t="s">
        <x:v>138</x:v>
      </x:c>
      <x:c r="Q4" s="21" t="s">
        <x:v>139</x:v>
      </x:c>
      <x:c r="R4" s="20">
        <x:v>29</x:v>
      </x:c>
      <x:c r="S4" s="20">
        <x:v>52</x:v>
      </x:c>
      <x:c r="T4" s="21" t="s">
        <x:v>140</x:v>
      </x:c>
      <x:c r="U4" s="20">
        <x:v>2000</x:v>
      </x:c>
      <x:c r="V4" s="20">
        <x:v>19</x:v>
      </x:c>
      <x:c r="W4" s="73" t="s">
        <x:v>141</x:v>
      </x:c>
      <x:c r="X4" s="73" t="s">
        <x:v>141</x:v>
      </x:c>
      <x:c r="Y4" s="73" t="s">
        <x:v>141</x:v>
      </x:c>
      <x:c r="Z4" s="73" t="s">
        <x:v>142</x:v>
      </x:c>
      <x:c r="AA4" s="74" t="s">
        <x:v>10</x:v>
      </x:c>
      <x:c r="AB4" s="73" t="s">
        <x:v>141</x:v>
      </x:c>
      <x:c r="AC4" s="73" t="s">
        <x:v>141</x:v>
      </x:c>
      <x:c r="AD4" s="23"/>
      <x:c r="AE4" s="24">
        <x:v>1</x:v>
      </x:c>
      <x:c r="AF4" s="24"/>
      <x:c r="AG4" s="24"/>
      <x:c r="AH4" s="24"/>
      <x:c r="AI4" s="24" t="s">
        <x:v>143</x:v>
      </x:c>
      <x:c r="AJ4" s="24"/>
      <x:c r="AK4" s="24"/>
      <x:c r="AL4" s="24"/>
      <x:c r="AM4" s="24"/>
      <x:c r="AN4" s="24"/>
      <x:c r="AO4" s="24"/>
      <x:c r="AP4" s="24"/>
      <x:c r="AQ4" s="24"/>
      <x:c r="AR4" s="24"/>
      <x:c r="AS4" s="24"/>
      <x:c r="AT4" s="24"/>
      <x:c r="AU4" s="24"/>
      <x:c r="AV4" s="75" t="s">
        <x:v>10</x:v>
      </x:c>
      <x:c r="AW4" s="76" t="s">
        <x:v>144</x:v>
      </x:c>
      <x:c r="AX4" s="76" t="s">
        <x:v>145</x:v>
      </x:c>
      <x:c r="AY4" s="75" t="s">
        <x:v>10</x:v>
      </x:c>
      <x:c r="AZ4" s="75"/>
      <x:c r="BA4" s="75">
        <x:v>1</x:v>
      </x:c>
      <x:c r="BB4" s="75">
        <x:v>19</x:v>
      </x:c>
      <x:c r="BC4" s="25" t="s">
        <x:v>146</x:v>
      </x:c>
      <x:c r="BD4" s="25" t="s">
        <x:v>147</x:v>
      </x:c>
      <x:c r="BE4" s="25"/>
      <x:c r="BF4" s="25"/>
      <x:c r="BG4" s="25" t="s">
        <x:v>148</x:v>
      </x:c>
    </x:row>
    <x:row r="5" ht="30" customHeight="1">
      <x:c r="A5" s="20" t="s">
        <x:v>10</x:v>
      </x:c>
      <x:c r="B5" s="20"/>
      <x:c r="C5" s="21" t="s">
        <x:v>13</x:v>
      </x:c>
      <x:c r="D5" s="72" t="s">
        <x:v>14</x:v>
      </x:c>
      <x:c r="E5" s="22" t="s">
        <x:v>149</x:v>
      </x:c>
      <x:c r="F5" s="72" t="s">
        <x:v>150</x:v>
      </x:c>
      <x:c r="G5" s="72" t="s">
        <x:v>151</x:v>
      </x:c>
      <x:c r="H5" s="22" t="s">
        <x:v>152</x:v>
      </x:c>
      <x:c r="I5" s="22" t="s">
        <x:v>135</x:v>
      </x:c>
      <x:c r="J5" s="20">
        <x:v>24</x:v>
      </x:c>
      <x:c r="K5" s="21" t="s">
        <x:v>153</x:v>
      </x:c>
      <x:c r="L5" s="21" t="s">
        <x:v>136</x:v>
      </x:c>
      <x:c r="M5" s="20">
        <x:v>37</x:v>
      </x:c>
      <x:c r="N5" s="20">
        <x:v>58</x:v>
      </x:c>
      <x:c r="O5" s="20">
        <x:v>20</x:v>
      </x:c>
      <x:c r="P5" s="21" t="s">
        <x:v>139</x:v>
      </x:c>
      <x:c r="Q5" s="21" t="s">
        <x:v>154</x:v>
      </x:c>
      <x:c r="R5" s="20">
        <x:v>37</x:v>
      </x:c>
      <x:c r="S5" s="20">
        <x:v>60</x:v>
      </x:c>
      <x:c r="T5" s="21" t="s">
        <x:v>140</x:v>
      </x:c>
      <x:c r="U5" s="20">
        <x:v>5000</x:v>
      </x:c>
      <x:c r="V5" s="20">
        <x:v>20</x:v>
      </x:c>
      <x:c r="W5" s="74" t="s">
        <x:v>10</x:v>
      </x:c>
      <x:c r="X5" s="74" t="s">
        <x:v>10</x:v>
      </x:c>
      <x:c r="Y5" s="74" t="s">
        <x:v>10</x:v>
      </x:c>
      <x:c r="Z5" s="74" t="s">
        <x:v>155</x:v>
      </x:c>
      <x:c r="AA5" s="74" t="s">
        <x:v>10</x:v>
      </x:c>
      <x:c r="AB5" s="73" t="s">
        <x:v>141</x:v>
      </x:c>
      <x:c r="AC5" s="74" t="s">
        <x:v>10</x:v>
      </x:c>
      <x:c r="AD5" s="23" t="s">
        <x:v>156</x:v>
      </x:c>
      <x:c r="AE5" s="24">
        <x:v>1</x:v>
      </x:c>
      <x:c r="AF5" s="24"/>
      <x:c r="AG5" s="24"/>
      <x:c r="AH5" s="24"/>
      <x:c r="AI5" s="24" t="s">
        <x:v>143</x:v>
      </x:c>
      <x:c r="AJ5" s="24"/>
      <x:c r="AK5" s="24"/>
      <x:c r="AL5" s="24"/>
      <x:c r="AM5" s="24"/>
      <x:c r="AN5" s="24"/>
      <x:c r="AO5" s="24"/>
      <x:c r="AP5" s="24"/>
      <x:c r="AQ5" s="24"/>
      <x:c r="AR5" s="24"/>
      <x:c r="AS5" s="24"/>
      <x:c r="AT5" s="24"/>
      <x:c r="AU5" s="24"/>
      <x:c r="AV5" s="75" t="s">
        <x:v>10</x:v>
      </x:c>
      <x:c r="AW5" s="76" t="s">
        <x:v>144</x:v>
      </x:c>
      <x:c r="AX5" s="76" t="s">
        <x:v>145</x:v>
      </x:c>
      <x:c r="AY5" s="75" t="s">
        <x:v>10</x:v>
      </x:c>
      <x:c r="AZ5" s="75"/>
      <x:c r="BA5" s="75">
        <x:v>1</x:v>
      </x:c>
      <x:c r="BB5" s="75">
        <x:v>20</x:v>
      </x:c>
      <x:c r="BC5" s="25" t="s">
        <x:v>146</x:v>
      </x:c>
      <x:c r="BD5" s="25" t="s">
        <x:v>147</x:v>
      </x:c>
      <x:c r="BE5" s="25"/>
      <x:c r="BF5" s="25"/>
      <x:c r="BG5" s="25" t="s">
        <x:v>148</x:v>
      </x:c>
    </x:row>
    <x:row r="6" ht="30" customHeight="1">
      <x:c r="A6" s="20" t="s">
        <x:v>10</x:v>
      </x:c>
      <x:c r="B6" s="20"/>
      <x:c r="C6" s="21" t="s">
        <x:v>16</x:v>
      </x:c>
      <x:c r="D6" s="72" t="s">
        <x:v>17</x:v>
      </x:c>
      <x:c r="E6" s="22" t="s">
        <x:v>157</x:v>
      </x:c>
      <x:c r="F6" s="72" t="s">
        <x:v>158</x:v>
      </x:c>
      <x:c r="G6" s="72" t="s">
        <x:v>159</x:v>
      </x:c>
      <x:c r="H6" s="22" t="s">
        <x:v>160</x:v>
      </x:c>
      <x:c r="I6" s="22" t="s">
        <x:v>135</x:v>
      </x:c>
      <x:c r="J6" s="20">
        <x:v>29</x:v>
      </x:c>
      <x:c r="K6" s="21" t="s">
        <x:v>161</x:v>
      </x:c>
      <x:c r="L6" s="21" t="s">
        <x:v>162</x:v>
      </x:c>
      <x:c r="M6" s="20">
        <x:v>37</x:v>
      </x:c>
      <x:c r="N6" s="20">
        <x:v>47</x:v>
      </x:c>
      <x:c r="O6" s="20">
        <x:v>26</x:v>
      </x:c>
      <x:c r="P6" s="21" t="s">
        <x:v>163</x:v>
      </x:c>
      <x:c r="Q6" s="21" t="s">
        <x:v>164</x:v>
      </x:c>
      <x:c r="R6" s="20">
        <x:v>37</x:v>
      </x:c>
      <x:c r="S6" s="20">
        <x:v>48</x:v>
      </x:c>
      <x:c r="T6" s="21" t="s">
        <x:v>140</x:v>
      </x:c>
      <x:c r="U6" s="20">
        <x:v>2000</x:v>
      </x:c>
      <x:c r="V6" s="20">
        <x:v>9</x:v>
      </x:c>
      <x:c r="W6" s="74" t="s">
        <x:v>10</x:v>
      </x:c>
      <x:c r="X6" s="74" t="s">
        <x:v>10</x:v>
      </x:c>
      <x:c r="Y6" s="77" t="s">
        <x:v>165</x:v>
      </x:c>
      <x:c r="Z6" s="74" t="s">
        <x:v>155</x:v>
      </x:c>
      <x:c r="AA6" s="74" t="s">
        <x:v>10</x:v>
      </x:c>
      <x:c r="AB6" s="74" t="s">
        <x:v>10</x:v>
      </x:c>
      <x:c r="AC6" s="74" t="s">
        <x:v>10</x:v>
      </x:c>
      <x:c r="AD6" s="23" t="s">
        <x:v>156</x:v>
      </x:c>
      <x:c r="AE6" s="24">
        <x:v>1</x:v>
      </x:c>
      <x:c r="AF6" s="24"/>
      <x:c r="AG6" s="24"/>
      <x:c r="AH6" s="24"/>
      <x:c r="AI6" s="24" t="s">
        <x:v>143</x:v>
      </x:c>
      <x:c r="AJ6" s="24"/>
      <x:c r="AK6" s="24"/>
      <x:c r="AL6" s="24"/>
      <x:c r="AM6" s="24"/>
      <x:c r="AN6" s="24"/>
      <x:c r="AO6" s="24"/>
      <x:c r="AP6" s="24"/>
      <x:c r="AQ6" s="24"/>
      <x:c r="AR6" s="24"/>
      <x:c r="AS6" s="24"/>
      <x:c r="AT6" s="24"/>
      <x:c r="AU6" s="24"/>
      <x:c r="AV6" s="75" t="s">
        <x:v>10</x:v>
      </x:c>
      <x:c r="AW6" s="76" t="s">
        <x:v>144</x:v>
      </x:c>
      <x:c r="AX6" s="76" t="s">
        <x:v>145</x:v>
      </x:c>
      <x:c r="AY6" s="75" t="s">
        <x:v>10</x:v>
      </x:c>
      <x:c r="AZ6" s="75"/>
      <x:c r="BA6" s="75">
        <x:v>1</x:v>
      </x:c>
      <x:c r="BB6" s="75">
        <x:v>9</x:v>
      </x:c>
      <x:c r="BC6" s="25" t="s">
        <x:v>146</x:v>
      </x:c>
      <x:c r="BD6" s="25" t="s">
        <x:v>147</x:v>
      </x:c>
      <x:c r="BE6" s="25"/>
      <x:c r="BF6" s="25"/>
      <x:c r="BG6" s="25" t="s">
        <x:v>148</x:v>
      </x:c>
    </x:row>
    <x:row r="7" ht="30" customHeight="1">
      <x:c r="A7" s="20" t="s">
        <x:v>10</x:v>
      </x:c>
      <x:c r="B7" s="26"/>
      <x:c r="C7" s="26" t="s">
        <x:v>19</x:v>
      </x:c>
      <x:c r="D7" s="78" t="s">
        <x:v>20</x:v>
      </x:c>
      <x:c r="E7" s="27" t="s">
        <x:v>166</x:v>
      </x:c>
      <x:c r="F7" s="78" t="s">
        <x:v>167</x:v>
      </x:c>
      <x:c r="G7" s="78" t="s">
        <x:v>168</x:v>
      </x:c>
      <x:c r="H7" s="27" t="s">
        <x:v>169</x:v>
      </x:c>
      <x:c r="I7" s="22" t="s">
        <x:v>135</x:v>
      </x:c>
      <x:c r="J7" s="26">
        <x:v>22</x:v>
      </x:c>
      <x:c r="K7" s="26" t="s">
        <x:v>137</x:v>
      </x:c>
      <x:c r="L7" s="26" t="s">
        <x:v>138</x:v>
      </x:c>
      <x:c r="M7" s="26">
        <x:v>27</x:v>
      </x:c>
      <x:c r="N7" s="26">
        <x:v>36</x:v>
      </x:c>
      <x:c r="O7" s="26">
        <x:v>21</x:v>
      </x:c>
      <x:c r="P7" s="26" t="s">
        <x:v>138</x:v>
      </x:c>
      <x:c r="Q7" s="26" t="s">
        <x:v>139</x:v>
      </x:c>
      <x:c r="R7" s="26">
        <x:v>28</x:v>
      </x:c>
      <x:c r="S7" s="26">
        <x:v>39</x:v>
      </x:c>
      <x:c r="T7" s="26" t="s">
        <x:v>140</x:v>
      </x:c>
      <x:c r="U7" s="26">
        <x:v>4000</x:v>
      </x:c>
      <x:c r="V7" s="26">
        <x:v>27</x:v>
      </x:c>
      <x:c r="W7" s="79" t="s">
        <x:v>141</x:v>
      </x:c>
      <x:c r="X7" s="79" t="s">
        <x:v>10</x:v>
      </x:c>
      <x:c r="Y7" s="79" t="s">
        <x:v>170</x:v>
      </x:c>
      <x:c r="Z7" s="79" t="s">
        <x:v>155</x:v>
      </x:c>
      <x:c r="AA7" s="67" t="s">
        <x:v>10</x:v>
      </x:c>
      <x:c r="AB7" s="68"/>
      <x:c r="AC7" s="79" t="s">
        <x:v>141</x:v>
      </x:c>
      <x:c r="AD7" s="28"/>
      <x:c r="AE7" s="24">
        <x:v>2</x:v>
      </x:c>
      <x:c r="AF7" s="24" t="s">
        <x:v>13</x:v>
      </x:c>
      <x:c r="AG7" s="24" t="s">
        <x:v>149</x:v>
      </x:c>
      <x:c r="AH7" s="29" t="s">
        <x:v>150</x:v>
      </x:c>
      <x:c r="AI7" s="24" t="s">
        <x:v>171</x:v>
      </x:c>
      <x:c r="AJ7" s="24" t="s">
        <x:v>143</x:v>
      </x:c>
      <x:c r="AK7" s="24">
        <x:v>5000</x:v>
      </x:c>
      <x:c r="AL7" s="24">
        <x:v>26</x:v>
      </x:c>
      <x:c r="AM7" s="24" t="s">
        <x:v>163</x:v>
      </x:c>
      <x:c r="AN7" s="24" t="s">
        <x:v>164</x:v>
      </x:c>
      <x:c r="AO7" s="24">
        <x:v>41</x:v>
      </x:c>
      <x:c r="AP7" s="24">
        <x:v>63</x:v>
      </x:c>
      <x:c r="AQ7" s="24">
        <x:v>22</x:v>
      </x:c>
      <x:c r="AR7" s="24" t="s">
        <x:v>137</x:v>
      </x:c>
      <x:c r="AS7" s="24" t="s">
        <x:v>138</x:v>
      </x:c>
      <x:c r="AT7" s="24">
        <x:v>41</x:v>
      </x:c>
      <x:c r="AU7" s="24">
        <x:v>63</x:v>
      </x:c>
      <x:c r="AV7" s="75" t="s">
        <x:v>10</x:v>
      </x:c>
      <x:c r="AW7" s="76" t="s">
        <x:v>144</x:v>
      </x:c>
      <x:c r="AX7" s="76" t="s">
        <x:v>145</x:v>
      </x:c>
      <x:c r="AY7" s="75" t="s">
        <x:v>10</x:v>
      </x:c>
      <x:c r="AZ7" s="75"/>
      <x:c r="BA7" s="75">
        <x:v>1</x:v>
      </x:c>
      <x:c r="BB7" s="75">
        <x:v>27</x:v>
      </x:c>
      <x:c r="BC7" s="25" t="s">
        <x:v>172</x:v>
      </x:c>
      <x:c r="BD7" s="25" t="s">
        <x:v>147</x:v>
      </x:c>
      <x:c r="BE7" s="25" t="s">
        <x:v>173</x:v>
      </x:c>
      <x:c r="BF7" s="25" t="s">
        <x:v>174</x:v>
      </x:c>
      <x:c r="BG7" s="25" t="s">
        <x:v>148</x:v>
      </x:c>
    </x:row>
    <x:row r="8" ht="30" customHeight="1">
      <x:c r="A8" s="20" t="s">
        <x:v>10</x:v>
      </x:c>
      <x:c r="B8" s="20"/>
      <x:c r="C8" s="21" t="s">
        <x:v>22</x:v>
      </x:c>
      <x:c r="D8" s="72" t="s">
        <x:v>23</x:v>
      </x:c>
      <x:c r="E8" s="22" t="s">
        <x:v>175</x:v>
      </x:c>
      <x:c r="F8" s="72" t="s">
        <x:v>176</x:v>
      </x:c>
      <x:c r="G8" s="72" t="s">
        <x:v>177</x:v>
      </x:c>
      <x:c r="H8" s="22" t="s">
        <x:v>178</x:v>
      </x:c>
      <x:c r="I8" s="22" t="s">
        <x:v>135</x:v>
      </x:c>
      <x:c r="J8" s="20">
        <x:v>25</x:v>
      </x:c>
      <x:c r="K8" s="21" t="s">
        <x:v>164</x:v>
      </x:c>
      <x:c r="L8" s="21" t="s">
        <x:v>153</x:v>
      </x:c>
      <x:c r="M8" s="20">
        <x:v>24</x:v>
      </x:c>
      <x:c r="N8" s="20">
        <x:v>52</x:v>
      </x:c>
      <x:c r="O8" s="20">
        <x:v>23</x:v>
      </x:c>
      <x:c r="P8" s="21" t="s">
        <x:v>136</x:v>
      </x:c>
      <x:c r="Q8" s="21" t="s">
        <x:v>137</x:v>
      </x:c>
      <x:c r="R8" s="20">
        <x:v>21</x:v>
      </x:c>
      <x:c r="S8" s="20">
        <x:v>49</x:v>
      </x:c>
      <x:c r="T8" s="21" t="s">
        <x:v>140</x:v>
      </x:c>
      <x:c r="U8" s="20">
        <x:v>3000</x:v>
      </x:c>
      <x:c r="V8" s="20">
        <x:v>25</x:v>
      </x:c>
      <x:c r="W8" s="74" t="s">
        <x:v>10</x:v>
      </x:c>
      <x:c r="X8" s="74" t="s">
        <x:v>10</x:v>
      </x:c>
      <x:c r="Y8" s="74" t="s">
        <x:v>10</x:v>
      </x:c>
      <x:c r="Z8" s="74" t="s">
        <x:v>155</x:v>
      </x:c>
      <x:c r="AA8" s="74" t="s">
        <x:v>10</x:v>
      </x:c>
      <x:c r="AB8" s="73" t="s">
        <x:v>141</x:v>
      </x:c>
      <x:c r="AC8" s="74" t="s">
        <x:v>10</x:v>
      </x:c>
      <x:c r="AD8" s="23" t="s">
        <x:v>156</x:v>
      </x:c>
      <x:c r="AE8" s="24">
        <x:v>1</x:v>
      </x:c>
      <x:c r="AF8" s="30"/>
      <x:c r="AG8" s="30"/>
      <x:c r="AH8" s="30"/>
      <x:c r="AI8" s="24" t="s">
        <x:v>143</x:v>
      </x:c>
      <x:c r="AJ8" s="30"/>
      <x:c r="AK8" s="30"/>
      <x:c r="AL8" s="30"/>
      <x:c r="AM8" s="30"/>
      <x:c r="AN8" s="30"/>
      <x:c r="AO8" s="30"/>
      <x:c r="AP8" s="30"/>
      <x:c r="AQ8" s="30"/>
      <x:c r="AR8" s="30"/>
      <x:c r="AS8" s="30"/>
      <x:c r="AT8" s="30"/>
      <x:c r="AU8" s="30"/>
      <x:c r="AV8" s="75" t="s">
        <x:v>10</x:v>
      </x:c>
      <x:c r="AW8" s="76" t="s">
        <x:v>144</x:v>
      </x:c>
      <x:c r="AX8" s="76" t="s">
        <x:v>145</x:v>
      </x:c>
      <x:c r="AY8" s="75" t="s">
        <x:v>10</x:v>
      </x:c>
      <x:c r="AZ8" s="75"/>
      <x:c r="BA8" s="75">
        <x:v>1</x:v>
      </x:c>
      <x:c r="BB8" s="75">
        <x:v>25</x:v>
      </x:c>
      <x:c r="BC8" s="25" t="s">
        <x:v>146</x:v>
      </x:c>
      <x:c r="BD8" s="25" t="s">
        <x:v>147</x:v>
      </x:c>
      <x:c r="BE8" s="25"/>
      <x:c r="BF8" s="25"/>
      <x:c r="BG8" s="25" t="s">
        <x:v>148</x:v>
      </x:c>
    </x:row>
    <x:row r="9" ht="30" customHeight="1">
      <x:c r="A9" s="20" t="s">
        <x:v>10</x:v>
      </x:c>
      <x:c r="B9" s="21"/>
      <x:c r="C9" s="21" t="s">
        <x:v>25</x:v>
      </x:c>
      <x:c r="D9" s="72" t="s">
        <x:v>26</x:v>
      </x:c>
      <x:c r="E9" s="22" t="s">
        <x:v>179</x:v>
      </x:c>
      <x:c r="F9" s="72" t="s">
        <x:v>180</x:v>
      </x:c>
      <x:c r="G9" s="72" t="s">
        <x:v>181</x:v>
      </x:c>
      <x:c r="H9" s="22" t="s">
        <x:v>182</x:v>
      </x:c>
      <x:c r="I9" s="22" t="s">
        <x:v>135</x:v>
      </x:c>
      <x:c r="J9" s="20">
        <x:v>23</x:v>
      </x:c>
      <x:c r="K9" s="21" t="s">
        <x:v>136</x:v>
      </x:c>
      <x:c r="L9" s="21" t="s">
        <x:v>137</x:v>
      </x:c>
      <x:c r="M9" s="20">
        <x:v>37</x:v>
      </x:c>
      <x:c r="N9" s="20">
        <x:v>58</x:v>
      </x:c>
      <x:c r="O9" s="20">
        <x:v>23</x:v>
      </x:c>
      <x:c r="P9" s="21" t="s">
        <x:v>136</x:v>
      </x:c>
      <x:c r="Q9" s="21" t="s">
        <x:v>137</x:v>
      </x:c>
      <x:c r="R9" s="20">
        <x:v>37</x:v>
      </x:c>
      <x:c r="S9" s="20">
        <x:v>60</x:v>
      </x:c>
      <x:c r="T9" s="21" t="s">
        <x:v>140</x:v>
      </x:c>
      <x:c r="U9" s="20">
        <x:v>3000</x:v>
      </x:c>
      <x:c r="V9" s="20">
        <x:v>18</x:v>
      </x:c>
      <x:c r="W9" s="73" t="s">
        <x:v>141</x:v>
      </x:c>
      <x:c r="X9" s="73" t="s">
        <x:v>141</x:v>
      </x:c>
      <x:c r="Y9" s="73" t="s">
        <x:v>141</x:v>
      </x:c>
      <x:c r="Z9" s="73" t="s">
        <x:v>183</x:v>
      </x:c>
      <x:c r="AA9" s="74" t="s">
        <x:v>10</x:v>
      </x:c>
      <x:c r="AB9" s="73" t="s">
        <x:v>141</x:v>
      </x:c>
      <x:c r="AC9" s="73" t="s">
        <x:v>141</x:v>
      </x:c>
      <x:c r="AD9" s="23"/>
      <x:c r="AE9" s="24">
        <x:v>1</x:v>
      </x:c>
      <x:c r="AF9" s="24"/>
      <x:c r="AG9" s="24"/>
      <x:c r="AH9" s="24"/>
      <x:c r="AI9" s="24" t="s">
        <x:v>143</x:v>
      </x:c>
      <x:c r="AJ9" s="24"/>
      <x:c r="AK9" s="24"/>
      <x:c r="AL9" s="24"/>
      <x:c r="AM9" s="24"/>
      <x:c r="AN9" s="24"/>
      <x:c r="AO9" s="24"/>
      <x:c r="AP9" s="24"/>
      <x:c r="AQ9" s="24"/>
      <x:c r="AR9" s="24"/>
      <x:c r="AS9" s="24"/>
      <x:c r="AT9" s="24"/>
      <x:c r="AU9" s="24"/>
      <x:c r="AV9" s="75" t="s">
        <x:v>10</x:v>
      </x:c>
      <x:c r="AW9" s="76" t="s">
        <x:v>144</x:v>
      </x:c>
      <x:c r="AX9" s="76" t="s">
        <x:v>145</x:v>
      </x:c>
      <x:c r="AY9" s="75" t="s">
        <x:v>10</x:v>
      </x:c>
      <x:c r="AZ9" s="75"/>
      <x:c r="BA9" s="75">
        <x:v>1</x:v>
      </x:c>
      <x:c r="BB9" s="75">
        <x:v>18</x:v>
      </x:c>
      <x:c r="BC9" s="25" t="s">
        <x:v>146</x:v>
      </x:c>
      <x:c r="BD9" s="25" t="s">
        <x:v>147</x:v>
      </x:c>
      <x:c r="BE9" s="25"/>
      <x:c r="BF9" s="25"/>
      <x:c r="BG9" s="25" t="s">
        <x:v>148</x:v>
      </x:c>
    </x:row>
    <x:row r="10" ht="30" customHeight="1">
      <x:c r="A10" s="20" t="s">
        <x:v>10</x:v>
      </x:c>
      <x:c r="B10" s="21"/>
      <x:c r="C10" s="21" t="s">
        <x:v>28</x:v>
      </x:c>
      <x:c r="D10" s="72" t="s">
        <x:v>29</x:v>
      </x:c>
      <x:c r="E10" s="22" t="s">
        <x:v>184</x:v>
      </x:c>
      <x:c r="F10" s="72" t="s">
        <x:v>185</x:v>
      </x:c>
      <x:c r="G10" s="72" t="s">
        <x:v>186</x:v>
      </x:c>
      <x:c r="H10" s="22" t="s">
        <x:v>187</x:v>
      </x:c>
      <x:c r="I10" s="22" t="s">
        <x:v>135</x:v>
      </x:c>
      <x:c r="J10" s="20">
        <x:v>23</x:v>
      </x:c>
      <x:c r="K10" s="21" t="s">
        <x:v>136</x:v>
      </x:c>
      <x:c r="L10" s="21" t="s">
        <x:v>137</x:v>
      </x:c>
      <x:c r="M10" s="20">
        <x:v>29</x:v>
      </x:c>
      <x:c r="N10" s="20">
        <x:v>50</x:v>
      </x:c>
      <x:c r="O10" s="20">
        <x:v>20</x:v>
      </x:c>
      <x:c r="P10" s="21" t="s">
        <x:v>139</x:v>
      </x:c>
      <x:c r="Q10" s="21" t="s">
        <x:v>154</x:v>
      </x:c>
      <x:c r="R10" s="20">
        <x:v>32</x:v>
      </x:c>
      <x:c r="S10" s="20">
        <x:v>54</x:v>
      </x:c>
      <x:c r="T10" s="21" t="s">
        <x:v>140</x:v>
      </x:c>
      <x:c r="U10" s="20">
        <x:v>4000</x:v>
      </x:c>
      <x:c r="V10" s="20">
        <x:v>19</x:v>
      </x:c>
      <x:c r="W10" s="73" t="s">
        <x:v>141</x:v>
      </x:c>
      <x:c r="X10" s="73" t="s">
        <x:v>141</x:v>
      </x:c>
      <x:c r="Y10" s="73" t="s">
        <x:v>141</x:v>
      </x:c>
      <x:c r="Z10" s="73" t="s">
        <x:v>183</x:v>
      </x:c>
      <x:c r="AA10" s="74" t="s">
        <x:v>10</x:v>
      </x:c>
      <x:c r="AB10" s="73" t="s">
        <x:v>141</x:v>
      </x:c>
      <x:c r="AC10" s="73" t="s">
        <x:v>141</x:v>
      </x:c>
      <x:c r="AD10" s="23"/>
      <x:c r="AE10" s="24">
        <x:v>1</x:v>
      </x:c>
      <x:c r="AF10" s="24"/>
      <x:c r="AG10" s="24"/>
      <x:c r="AH10" s="24"/>
      <x:c r="AI10" s="24" t="s">
        <x:v>143</x:v>
      </x:c>
      <x:c r="AJ10" s="24"/>
      <x:c r="AK10" s="24"/>
      <x:c r="AL10" s="24"/>
      <x:c r="AM10" s="24"/>
      <x:c r="AN10" s="24"/>
      <x:c r="AO10" s="24"/>
      <x:c r="AP10" s="24"/>
      <x:c r="AQ10" s="24"/>
      <x:c r="AR10" s="24"/>
      <x:c r="AS10" s="24"/>
      <x:c r="AT10" s="24"/>
      <x:c r="AU10" s="24"/>
      <x:c r="AV10" s="75" t="s">
        <x:v>10</x:v>
      </x:c>
      <x:c r="AW10" s="76" t="s">
        <x:v>144</x:v>
      </x:c>
      <x:c r="AX10" s="76" t="s">
        <x:v>145</x:v>
      </x:c>
      <x:c r="AY10" s="75" t="s">
        <x:v>10</x:v>
      </x:c>
      <x:c r="AZ10" s="75"/>
      <x:c r="BA10" s="75">
        <x:v>1</x:v>
      </x:c>
      <x:c r="BB10" s="75">
        <x:v>19</x:v>
      </x:c>
      <x:c r="BC10" s="25" t="s">
        <x:v>146</x:v>
      </x:c>
      <x:c r="BD10" s="25" t="s">
        <x:v>147</x:v>
      </x:c>
      <x:c r="BE10" s="25"/>
      <x:c r="BF10" s="25"/>
      <x:c r="BG10" s="25" t="s">
        <x:v>148</x:v>
      </x:c>
    </x:row>
    <x:row r="11" ht="30" customHeight="1">
      <x:c r="A11" s="20" t="s">
        <x:v>10</x:v>
      </x:c>
      <x:c r="B11" s="21"/>
      <x:c r="C11" s="21" t="s">
        <x:v>31</x:v>
      </x:c>
      <x:c r="D11" s="72" t="s">
        <x:v>32</x:v>
      </x:c>
      <x:c r="E11" s="22" t="s">
        <x:v>188</x:v>
      </x:c>
      <x:c r="F11" s="72" t="s">
        <x:v>189</x:v>
      </x:c>
      <x:c r="G11" s="72" t="s">
        <x:v>190</x:v>
      </x:c>
      <x:c r="H11" s="22" t="s">
        <x:v>191</x:v>
      </x:c>
      <x:c r="I11" s="22" t="s">
        <x:v>135</x:v>
      </x:c>
      <x:c r="J11" s="20">
        <x:v>25</x:v>
      </x:c>
      <x:c r="K11" s="21" t="s">
        <x:v>164</x:v>
      </x:c>
      <x:c r="L11" s="21" t="s">
        <x:v>153</x:v>
      </x:c>
      <x:c r="M11" s="20">
        <x:v>27</x:v>
      </x:c>
      <x:c r="N11" s="20">
        <x:v>48</x:v>
      </x:c>
      <x:c r="O11" s="20">
        <x:v>23</x:v>
      </x:c>
      <x:c r="P11" s="21" t="s">
        <x:v>136</x:v>
      </x:c>
      <x:c r="Q11" s="21" t="s">
        <x:v>137</x:v>
      </x:c>
      <x:c r="R11" s="20">
        <x:v>29</x:v>
      </x:c>
      <x:c r="S11" s="20">
        <x:v>52</x:v>
      </x:c>
      <x:c r="T11" s="21" t="s">
        <x:v>140</x:v>
      </x:c>
      <x:c r="U11" s="20">
        <x:v>2000</x:v>
      </x:c>
      <x:c r="V11" s="20">
        <x:v>16</x:v>
      </x:c>
      <x:c r="W11" s="73" t="s">
        <x:v>141</x:v>
      </x:c>
      <x:c r="X11" s="73" t="s">
        <x:v>141</x:v>
      </x:c>
      <x:c r="Y11" s="73" t="s">
        <x:v>141</x:v>
      </x:c>
      <x:c r="Z11" s="73" t="s">
        <x:v>183</x:v>
      </x:c>
      <x:c r="AA11" s="74" t="s">
        <x:v>10</x:v>
      </x:c>
      <x:c r="AB11" s="73" t="s">
        <x:v>141</x:v>
      </x:c>
      <x:c r="AC11" s="73" t="s">
        <x:v>141</x:v>
      </x:c>
      <x:c r="AD11" s="23"/>
      <x:c r="AE11" s="24">
        <x:v>1</x:v>
      </x:c>
      <x:c r="AF11" s="24"/>
      <x:c r="AG11" s="24"/>
      <x:c r="AH11" s="24"/>
      <x:c r="AI11" s="24" t="s">
        <x:v>143</x:v>
      </x:c>
      <x:c r="AJ11" s="24"/>
      <x:c r="AK11" s="24"/>
      <x:c r="AL11" s="24"/>
      <x:c r="AM11" s="24"/>
      <x:c r="AN11" s="24"/>
      <x:c r="AO11" s="24"/>
      <x:c r="AP11" s="24"/>
      <x:c r="AQ11" s="24"/>
      <x:c r="AR11" s="24"/>
      <x:c r="AS11" s="24"/>
      <x:c r="AT11" s="24"/>
      <x:c r="AU11" s="24"/>
      <x:c r="AV11" s="75" t="s">
        <x:v>10</x:v>
      </x:c>
      <x:c r="AW11" s="76" t="s">
        <x:v>144</x:v>
      </x:c>
      <x:c r="AX11" s="76" t="s">
        <x:v>145</x:v>
      </x:c>
      <x:c r="AY11" s="75" t="s">
        <x:v>192</x:v>
      </x:c>
      <x:c r="AZ11" s="75"/>
      <x:c r="BA11" s="75">
        <x:v>1</x:v>
      </x:c>
      <x:c r="BB11" s="75">
        <x:v>19</x:v>
      </x:c>
      <x:c r="BC11" s="25" t="s">
        <x:v>146</x:v>
      </x:c>
      <x:c r="BD11" s="25" t="s">
        <x:v>147</x:v>
      </x:c>
      <x:c r="BE11" s="25"/>
      <x:c r="BF11" s="25"/>
      <x:c r="BG11" s="25" t="s">
        <x:v>148</x:v>
      </x:c>
    </x:row>
    <x:row r="12" s="33" customFormat="1" ht="30" customHeight="1">
      <x:c r="A12" s="20" t="s">
        <x:v>10</x:v>
      </x:c>
      <x:c r="B12" s="20"/>
      <x:c r="C12" s="21" t="s">
        <x:v>19</x:v>
      </x:c>
      <x:c r="D12" s="72" t="s">
        <x:v>33</x:v>
      </x:c>
      <x:c r="E12" s="22" t="s">
        <x:v>166</x:v>
      </x:c>
      <x:c r="F12" s="72" t="s">
        <x:v>167</x:v>
      </x:c>
      <x:c r="G12" s="72" t="s">
        <x:v>193</x:v>
      </x:c>
      <x:c r="H12" s="22" t="s">
        <x:v>194</x:v>
      </x:c>
      <x:c r="I12" s="22" t="s">
        <x:v>135</x:v>
      </x:c>
      <x:c r="J12" s="20"/>
      <x:c r="K12" s="20"/>
      <x:c r="L12" s="20"/>
      <x:c r="M12" s="20"/>
      <x:c r="N12" s="20"/>
      <x:c r="O12" s="20"/>
      <x:c r="P12" s="20"/>
      <x:c r="Q12" s="20"/>
      <x:c r="R12" s="20"/>
      <x:c r="S12" s="20"/>
      <x:c r="T12" s="21" t="s">
        <x:v>140</x:v>
      </x:c>
      <x:c r="U12" s="20">
        <x:v>4000</x:v>
      </x:c>
      <x:c r="V12" s="20">
        <x:v>18</x:v>
      </x:c>
      <x:c r="W12" s="73" t="s">
        <x:v>141</x:v>
      </x:c>
      <x:c r="X12" s="73" t="s">
        <x:v>141</x:v>
      </x:c>
      <x:c r="Y12" s="73" t="s">
        <x:v>170</x:v>
      </x:c>
      <x:c r="Z12" s="73" t="s">
        <x:v>155</x:v>
      </x:c>
      <x:c r="AA12" s="74" t="s">
        <x:v>10</x:v>
      </x:c>
      <x:c r="AB12" s="73" t="s">
        <x:v>165</x:v>
      </x:c>
      <x:c r="AC12" s="73" t="s">
        <x:v>10</x:v>
      </x:c>
      <x:c r="AD12" s="23" t="s">
        <x:v>195</x:v>
      </x:c>
      <x:c r="AE12" s="31">
        <x:v>2</x:v>
      </x:c>
      <x:c r="AF12" s="31" t="s">
        <x:v>13</x:v>
      </x:c>
      <x:c r="AG12" s="31" t="s">
        <x:v>149</x:v>
      </x:c>
      <x:c r="AH12" s="32" t="s">
        <x:v>150</x:v>
      </x:c>
      <x:c r="AI12" s="31" t="s">
        <x:v>196</x:v>
      </x:c>
      <x:c r="AJ12" s="31" t="s">
        <x:v>143</x:v>
      </x:c>
      <x:c r="AK12" s="31">
        <x:v>5000</x:v>
      </x:c>
      <x:c r="AL12" s="31">
        <x:v>28</x:v>
      </x:c>
      <x:c r="AM12" s="31" t="s">
        <x:v>162</x:v>
      </x:c>
      <x:c r="AN12" s="31" t="s">
        <x:v>197</x:v>
      </x:c>
      <x:c r="AO12" s="31">
        <x:v>41</x:v>
      </x:c>
      <x:c r="AP12" s="31">
        <x:v>61</x:v>
      </x:c>
      <x:c r="AQ12" s="31">
        <x:v>30</x:v>
      </x:c>
      <x:c r="AR12" s="31" t="s">
        <x:v>198</x:v>
      </x:c>
      <x:c r="AS12" s="31" t="s">
        <x:v>161</x:v>
      </x:c>
      <x:c r="AT12" s="31">
        <x:v>41</x:v>
      </x:c>
      <x:c r="AU12" s="31">
        <x:v>61</x:v>
      </x:c>
      <x:c r="AV12" s="75"/>
      <x:c r="AW12" s="76"/>
      <x:c r="AX12" s="76"/>
      <x:c r="AY12" s="75" t="s">
        <x:v>34</x:v>
      </x:c>
      <x:c r="AZ12" s="75"/>
      <x:c r="BA12" s="75">
        <x:v>1</x:v>
      </x:c>
      <x:c r="BB12" s="75">
        <x:v>18</x:v>
      </x:c>
      <x:c r="BC12" s="25"/>
      <x:c r="BD12" s="25"/>
      <x:c r="BE12" s="25" t="s">
        <x:v>146</x:v>
      </x:c>
      <x:c r="BF12" s="25" t="s">
        <x:v>199</x:v>
      </x:c>
      <x:c r="BG12" s="25" t="s">
        <x:v>148</x:v>
      </x:c>
    </x:row>
  </x:sheetData>
  <x:mergeCells>
    <x:mergeCell ref="A1:G1"/>
    <x:mergeCell ref="S2:U2"/>
    <x:mergeCell ref="AU2:AW2"/>
    <x:mergeCell ref="AB2:AC2"/>
    <x:mergeCell ref="N2:R2"/>
    <x:mergeCell ref="A2:G2"/>
    <x:mergeCell ref="AP2:AT2"/>
    <x:mergeCell ref="AK2:AO2"/>
    <x:mergeCell ref="H2:M2"/>
    <x:mergeCell ref="V2:AA2"/>
    <x:mergeCell ref="AD2:AJ2"/>
  </x:mergeCells>
  <x:pageMargins left="0.7" right="0.7" top="0.75" bottom="0.75" header="0.3" footer="0.3"/>
</x:worksheet>
</file>

<file path=xl/worksheets/sheet3.xml><?xml version="1.0" encoding="utf-8"?>
<x:worksheet xmlns:x="http://schemas.openxmlformats.org/spreadsheetml/2006/main">
  <x:sheetFormatPr defaultColWidth="8.375" defaultRowHeight="13.5"/>
  <x:cols>
    <x:col min="1" max="1" width="18" customWidth="1"/>
    <x:col min="2" max="3" width="10" customWidth="1"/>
    <x:col min="4" max="4" width="16" customWidth="1"/>
    <x:col min="5" max="5" width="14" customWidth="1"/>
    <x:col min="6" max="6" width="12" customWidth="1"/>
    <x:col min="7" max="7" width="10" customWidth="1"/>
    <x:col min="8" max="8" width="16" customWidth="1"/>
    <x:col min="9" max="9" width="12" customWidth="1"/>
    <x:col min="10" max="10" width="10" customWidth="1"/>
    <x:col min="11" max="11" width="78.375" customWidth="1"/>
    <x:col min="12" max="12" width="18" customWidth="1"/>
  </x:cols>
  <x:sheetData>
    <x:row r="1" ht="30" customHeight="1">
      <x:c r="A1" s="19" t="s">
        <x:v>4</x:v>
      </x:c>
      <x:c r="B1" s="19" t="s">
        <x:v>200</x:v>
      </x:c>
      <x:c r="C1" s="19" t="s">
        <x:v>201</x:v>
      </x:c>
      <x:c r="D1" s="19" t="s">
        <x:v>202</x:v>
      </x:c>
      <x:c r="E1" s="19" t="s">
        <x:v>203</x:v>
      </x:c>
      <x:c r="F1" s="19" t="s">
        <x:v>204</x:v>
      </x:c>
      <x:c r="G1" s="19" t="s">
        <x:v>205</x:v>
      </x:c>
      <x:c r="H1" s="19" t="s">
        <x:v>206</x:v>
      </x:c>
      <x:c r="I1" s="19" t="s">
        <x:v>207</x:v>
      </x:c>
      <x:c r="J1" s="19" t="s">
        <x:v>208</x:v>
      </x:c>
      <x:c r="K1" s="19" t="s">
        <x:v>209</x:v>
      </x:c>
      <x:c r="L1" s="19" t="s">
        <x:v>210</x:v>
      </x:c>
    </x:row>
    <x:row r="2" ht="14.25" customHeight="1">
      <x:c r="A2" s="34" t="e">
        <x:f>拠点別設定値!D4</x:f>
        <x:v>#NAME?</x:v>
      </x:c>
      <x:c r="B2" s="34" t="s">
        <x:v>146</x:v>
      </x:c>
      <x:c r="C2" s="34" t="s">
        <x:v>211</x:v>
      </x:c>
      <x:c r="D2" s="34" t="e">
        <x:f>拠点別設定値!BC4</x:f>
        <x:v>#NAME?</x:v>
      </x:c>
      <x:c r="E2" s="34">
        <x:v>2</x:v>
      </x:c>
      <x:c r="F2" s="34" t="e">
        <x:f>拠点別設定値!J4</x:f>
        <x:v>#NAME?</x:v>
      </x:c>
      <x:c r="G2" s="34">
        <x:v>1</x:v>
      </x:c>
      <x:c r="H2" s="34" t="e">
        <x:f>拠点別設定値!K4&amp;拠点別設定値!M4&amp;":"&amp;拠点別設定値!K4&amp;拠点別設定値!N4</x:f>
        <x:v>#NAME?</x:v>
      </x:c>
      <x:c r="I2" s="34" t="e">
        <x:f>拠点別設定値!L4&amp;拠点別設定値!M4</x:f>
        <x:v>#NAME?</x:v>
      </x:c>
      <x:c r="J2" s="34" t="s">
        <x:v>212</x:v>
      </x:c>
      <x:c r="K2" s="34"/>
      <x:c r="L2" s="34" t="str">
        <x:f t="shared" ref="L2:L41" si="0">IF(G2=1,"有","無")</x:f>
        <x:v>有</x:v>
      </x:c>
    </x:row>
    <x:row r="3" ht="18.75" customHeight="1">
      <x:c r="A3" s="34" t="e">
        <x:f>拠点別設定値!D4</x:f>
        <x:v>#NAME?</x:v>
      </x:c>
      <x:c r="B3" s="34" t="s">
        <x:v>146</x:v>
      </x:c>
      <x:c r="C3" s="34" t="s">
        <x:v>211</x:v>
      </x:c>
      <x:c r="D3" s="34" t="e">
        <x:f>拠点別設定値!BC4</x:f>
        <x:v>#NAME?</x:v>
      </x:c>
      <x:c r="E3" s="34">
        <x:v>2</x:v>
      </x:c>
      <x:c r="F3" s="34" t="e">
        <x:f>拠点別設定値!J4</x:f>
        <x:v>#NAME?</x:v>
      </x:c>
      <x:c r="G3" s="34">
        <x:v>2</x:v>
      </x:c>
      <x:c r="H3" s="34" t="e">
        <x:f>拠点別設定値!K4&amp;(拠点別設定値!M4+1)&amp;":"&amp;拠点別設定値!K4&amp;(拠点別設定値!M4+2)</x:f>
        <x:v>#NAME?</x:v>
      </x:c>
      <x:c r="I3" s="34" t="e">
        <x:f>拠点別設定値!L4&amp;(拠点別設定値!M4+1)</x:f>
        <x:v>#NAME?</x:v>
      </x:c>
      <x:c r="J3" s="34" t="s">
        <x:v>213</x:v>
      </x:c>
      <x:c r="K3" s="34" t="s">
        <x:v>214</x:v>
      </x:c>
      <x:c r="L3" s="34" t="str">
        <x:f t="shared" si="0"/>
        <x:v>無</x:v>
      </x:c>
    </x:row>
    <x:row r="4" ht="14.25" customHeight="1">
      <x:c r="A4" s="34" t="e">
        <x:f>拠点別設定値!D4</x:f>
        <x:v>#NAME?</x:v>
      </x:c>
      <x:c r="B4" s="34" t="s">
        <x:v>147</x:v>
      </x:c>
      <x:c r="C4" s="34" t="s">
        <x:v>211</x:v>
      </x:c>
      <x:c r="D4" s="34" t="e">
        <x:f>拠点別設定値!BD4</x:f>
        <x:v>#NAME?</x:v>
      </x:c>
      <x:c r="E4" s="34">
        <x:v>2</x:v>
      </x:c>
      <x:c r="F4" s="34" t="e">
        <x:f>拠点別設定値!O4</x:f>
        <x:v>#NAME?</x:v>
      </x:c>
      <x:c r="G4" s="34">
        <x:v>1</x:v>
      </x:c>
      <x:c r="H4" s="34" t="e">
        <x:f>拠点別設定値!P4&amp;拠点別設定値!R4&amp;":"&amp;拠点別設定値!P4&amp;拠点別設定値!S4</x:f>
        <x:v>#NAME?</x:v>
      </x:c>
      <x:c r="I4" s="34" t="e">
        <x:f>拠点別設定値!Q4&amp;拠点別設定値!R4</x:f>
        <x:v>#NAME?</x:v>
      </x:c>
      <x:c r="J4" s="34" t="s">
        <x:v>212</x:v>
      </x:c>
      <x:c r="K4" s="34"/>
      <x:c r="L4" s="34" t="str">
        <x:f t="shared" si="0"/>
        <x:v>有</x:v>
      </x:c>
    </x:row>
    <x:row r="5" ht="18.75" customHeight="1">
      <x:c r="A5" s="34" t="e">
        <x:f>拠点別設定値!D4</x:f>
        <x:v>#NAME?</x:v>
      </x:c>
      <x:c r="B5" s="34" t="s">
        <x:v>147</x:v>
      </x:c>
      <x:c r="C5" s="34" t="s">
        <x:v>211</x:v>
      </x:c>
      <x:c r="D5" s="34" t="e">
        <x:f>拠点別設定値!BD4</x:f>
        <x:v>#NAME?</x:v>
      </x:c>
      <x:c r="E5" s="34">
        <x:v>2</x:v>
      </x:c>
      <x:c r="F5" s="34" t="e">
        <x:f>拠点別設定値!O4</x:f>
        <x:v>#NAME?</x:v>
      </x:c>
      <x:c r="G5" s="34">
        <x:v>2</x:v>
      </x:c>
      <x:c r="H5" s="34" t="e">
        <x:f>拠点別設定値!P4&amp;(拠点別設定値!R4+1)&amp;":"&amp;拠点別設定値!P4&amp;(拠点別設定値!R4+2)</x:f>
        <x:v>#NAME?</x:v>
      </x:c>
      <x:c r="I5" s="34" t="e">
        <x:f>拠点別設定値!Q4&amp;(拠点別設定値!R4+1)</x:f>
        <x:v>#NAME?</x:v>
      </x:c>
      <x:c r="J5" s="34" t="s">
        <x:v>213</x:v>
      </x:c>
      <x:c r="K5" s="34" t="s">
        <x:v>214</x:v>
      </x:c>
      <x:c r="L5" s="34" t="str">
        <x:f t="shared" si="0"/>
        <x:v>無</x:v>
      </x:c>
    </x:row>
    <x:row r="6" ht="14.25" customHeight="1">
      <x:c r="A6" s="34" t="e">
        <x:f>拠点別設定値!D5</x:f>
        <x:v>#NAME?</x:v>
      </x:c>
      <x:c r="B6" s="34" t="s">
        <x:v>146</x:v>
      </x:c>
      <x:c r="C6" s="34" t="s">
        <x:v>211</x:v>
      </x:c>
      <x:c r="D6" s="34" t="e">
        <x:f>拠点別設定値!BC5</x:f>
        <x:v>#NAME?</x:v>
      </x:c>
      <x:c r="E6" s="34">
        <x:v>2</x:v>
      </x:c>
      <x:c r="F6" s="34" t="e">
        <x:f>拠点別設定値!J5</x:f>
        <x:v>#NAME?</x:v>
      </x:c>
      <x:c r="G6" s="34">
        <x:v>1</x:v>
      </x:c>
      <x:c r="H6" s="34" t="e">
        <x:f>拠点別設定値!K5&amp;拠点別設定値!M5&amp;":"&amp;拠点別設定値!K5&amp;拠点別設定値!N5</x:f>
        <x:v>#NAME?</x:v>
      </x:c>
      <x:c r="I6" s="34" t="e">
        <x:f>拠点別設定値!L5&amp;拠点別設定値!M5</x:f>
        <x:v>#NAME?</x:v>
      </x:c>
      <x:c r="J6" s="34" t="s">
        <x:v>212</x:v>
      </x:c>
      <x:c r="K6" s="34"/>
      <x:c r="L6" s="34" t="str">
        <x:f t="shared" si="0"/>
        <x:v>有</x:v>
      </x:c>
    </x:row>
    <x:row r="7" ht="18.75" customHeight="1">
      <x:c r="A7" s="34" t="e">
        <x:f>拠点別設定値!D5</x:f>
        <x:v>#NAME?</x:v>
      </x:c>
      <x:c r="B7" s="34" t="s">
        <x:v>146</x:v>
      </x:c>
      <x:c r="C7" s="34" t="s">
        <x:v>211</x:v>
      </x:c>
      <x:c r="D7" s="34" t="e">
        <x:f>拠点別設定値!BC5</x:f>
        <x:v>#NAME?</x:v>
      </x:c>
      <x:c r="E7" s="34">
        <x:v>2</x:v>
      </x:c>
      <x:c r="F7" s="34" t="e">
        <x:f>拠点別設定値!J5</x:f>
        <x:v>#NAME?</x:v>
      </x:c>
      <x:c r="G7" s="34">
        <x:v>2</x:v>
      </x:c>
      <x:c r="H7" s="34" t="e">
        <x:f>拠点別設定値!K5&amp;(拠点別設定値!M5+1)&amp;":"&amp;拠点別設定値!K5&amp;(拠点別設定値!M5+2)</x:f>
        <x:v>#NAME?</x:v>
      </x:c>
      <x:c r="I7" s="34" t="e">
        <x:f>拠点別設定値!L5&amp;(拠点別設定値!M5+1)</x:f>
        <x:v>#NAME?</x:v>
      </x:c>
      <x:c r="J7" s="34" t="s">
        <x:v>213</x:v>
      </x:c>
      <x:c r="K7" s="34" t="s">
        <x:v>214</x:v>
      </x:c>
      <x:c r="L7" s="34" t="str">
        <x:f t="shared" si="0"/>
        <x:v>無</x:v>
      </x:c>
    </x:row>
    <x:row r="8" ht="14.25" customHeight="1">
      <x:c r="A8" s="34" t="e">
        <x:f>拠点別設定値!D5</x:f>
        <x:v>#NAME?</x:v>
      </x:c>
      <x:c r="B8" s="34" t="s">
        <x:v>147</x:v>
      </x:c>
      <x:c r="C8" s="34" t="s">
        <x:v>211</x:v>
      </x:c>
      <x:c r="D8" s="34" t="e">
        <x:f>拠点別設定値!BD5</x:f>
        <x:v>#NAME?</x:v>
      </x:c>
      <x:c r="E8" s="34">
        <x:v>2</x:v>
      </x:c>
      <x:c r="F8" s="34" t="e">
        <x:f>拠点別設定値!O5</x:f>
        <x:v>#NAME?</x:v>
      </x:c>
      <x:c r="G8" s="34">
        <x:v>1</x:v>
      </x:c>
      <x:c r="H8" s="34" t="e">
        <x:f>拠点別設定値!P5&amp;拠点別設定値!R5&amp;":"&amp;拠点別設定値!P5&amp;拠点別設定値!S5</x:f>
        <x:v>#NAME?</x:v>
      </x:c>
      <x:c r="I8" s="34" t="e">
        <x:f>拠点別設定値!Q5&amp;拠点別設定値!R5</x:f>
        <x:v>#NAME?</x:v>
      </x:c>
      <x:c r="J8" s="34" t="s">
        <x:v>212</x:v>
      </x:c>
      <x:c r="K8" s="34"/>
      <x:c r="L8" s="34" t="str">
        <x:f t="shared" si="0"/>
        <x:v>有</x:v>
      </x:c>
    </x:row>
    <x:row r="9" ht="18.75" customHeight="1">
      <x:c r="A9" s="34" t="e">
        <x:f>拠点別設定値!D5</x:f>
        <x:v>#NAME?</x:v>
      </x:c>
      <x:c r="B9" s="34" t="s">
        <x:v>147</x:v>
      </x:c>
      <x:c r="C9" s="34" t="s">
        <x:v>211</x:v>
      </x:c>
      <x:c r="D9" s="34" t="e">
        <x:f>拠点別設定値!BD5</x:f>
        <x:v>#NAME?</x:v>
      </x:c>
      <x:c r="E9" s="34">
        <x:v>2</x:v>
      </x:c>
      <x:c r="F9" s="34" t="e">
        <x:f>拠点別設定値!O5</x:f>
        <x:v>#NAME?</x:v>
      </x:c>
      <x:c r="G9" s="34">
        <x:v>2</x:v>
      </x:c>
      <x:c r="H9" s="34" t="e">
        <x:f>拠点別設定値!P5&amp;(拠点別設定値!R5+1)&amp;":"&amp;拠点別設定値!P5&amp;(拠点別設定値!R5+2)</x:f>
        <x:v>#NAME?</x:v>
      </x:c>
      <x:c r="I9" s="34" t="e">
        <x:f>拠点別設定値!Q5&amp;(拠点別設定値!R5+1)</x:f>
        <x:v>#NAME?</x:v>
      </x:c>
      <x:c r="J9" s="34" t="s">
        <x:v>213</x:v>
      </x:c>
      <x:c r="K9" s="34" t="s">
        <x:v>214</x:v>
      </x:c>
      <x:c r="L9" s="34" t="str">
        <x:f t="shared" si="0"/>
        <x:v>無</x:v>
      </x:c>
    </x:row>
    <x:row r="10" ht="14.25" customHeight="1">
      <x:c r="A10" s="34" t="e">
        <x:f>拠点別設定値!D6</x:f>
        <x:v>#NAME?</x:v>
      </x:c>
      <x:c r="B10" s="34" t="s">
        <x:v>146</x:v>
      </x:c>
      <x:c r="C10" s="34" t="s">
        <x:v>211</x:v>
      </x:c>
      <x:c r="D10" s="34" t="e">
        <x:f>拠点別設定値!BC6</x:f>
        <x:v>#NAME?</x:v>
      </x:c>
      <x:c r="E10" s="34">
        <x:v>2</x:v>
      </x:c>
      <x:c r="F10" s="34" t="e">
        <x:f>拠点別設定値!J6</x:f>
        <x:v>#NAME?</x:v>
      </x:c>
      <x:c r="G10" s="34">
        <x:v>1</x:v>
      </x:c>
      <x:c r="H10" s="34" t="e">
        <x:f>拠点別設定値!K6&amp;拠点別設定値!M6&amp;":"&amp;拠点別設定値!K6&amp;拠点別設定値!N6</x:f>
        <x:v>#NAME?</x:v>
      </x:c>
      <x:c r="I10" s="34" t="e">
        <x:f>拠点別設定値!L6&amp;拠点別設定値!M6</x:f>
        <x:v>#NAME?</x:v>
      </x:c>
      <x:c r="J10" s="34" t="s">
        <x:v>212</x:v>
      </x:c>
      <x:c r="K10" s="34"/>
      <x:c r="L10" s="34" t="str">
        <x:f t="shared" si="0"/>
        <x:v>有</x:v>
      </x:c>
    </x:row>
    <x:row r="11" ht="18.75" customHeight="1">
      <x:c r="A11" s="34" t="e">
        <x:f>拠点別設定値!D6</x:f>
        <x:v>#NAME?</x:v>
      </x:c>
      <x:c r="B11" s="34" t="s">
        <x:v>146</x:v>
      </x:c>
      <x:c r="C11" s="34" t="s">
        <x:v>211</x:v>
      </x:c>
      <x:c r="D11" s="34" t="e">
        <x:f>拠点別設定値!BC6</x:f>
        <x:v>#NAME?</x:v>
      </x:c>
      <x:c r="E11" s="34">
        <x:v>2</x:v>
      </x:c>
      <x:c r="F11" s="34" t="e">
        <x:f>拠点別設定値!J6</x:f>
        <x:v>#NAME?</x:v>
      </x:c>
      <x:c r="G11" s="34">
        <x:v>2</x:v>
      </x:c>
      <x:c r="H11" s="34" t="e">
        <x:f>拠点別設定値!K6&amp;(拠点別設定値!M6+1)&amp;":"&amp;拠点別設定値!K6&amp;(拠点別設定値!M6+2)</x:f>
        <x:v>#NAME?</x:v>
      </x:c>
      <x:c r="I11" s="34" t="e">
        <x:f>拠点別設定値!L6&amp;(拠点別設定値!M6+1)</x:f>
        <x:v>#NAME?</x:v>
      </x:c>
      <x:c r="J11" s="34" t="s">
        <x:v>213</x:v>
      </x:c>
      <x:c r="K11" s="34" t="s">
        <x:v>214</x:v>
      </x:c>
      <x:c r="L11" s="34" t="str">
        <x:f t="shared" si="0"/>
        <x:v>無</x:v>
      </x:c>
    </x:row>
    <x:row r="12" ht="14.25" customHeight="1">
      <x:c r="A12" s="34" t="e">
        <x:f>拠点別設定値!D6</x:f>
        <x:v>#NAME?</x:v>
      </x:c>
      <x:c r="B12" s="34" t="s">
        <x:v>147</x:v>
      </x:c>
      <x:c r="C12" s="34" t="s">
        <x:v>211</x:v>
      </x:c>
      <x:c r="D12" s="34" t="e">
        <x:f>拠点別設定値!BD6</x:f>
        <x:v>#NAME?</x:v>
      </x:c>
      <x:c r="E12" s="34">
        <x:v>2</x:v>
      </x:c>
      <x:c r="F12" s="34" t="e">
        <x:f>拠点別設定値!O6</x:f>
        <x:v>#NAME?</x:v>
      </x:c>
      <x:c r="G12" s="34">
        <x:v>1</x:v>
      </x:c>
      <x:c r="H12" s="34" t="e">
        <x:f>拠点別設定値!P6&amp;拠点別設定値!R6&amp;":"&amp;拠点別設定値!P6&amp;拠点別設定値!S6</x:f>
        <x:v>#NAME?</x:v>
      </x:c>
      <x:c r="I12" s="34" t="e">
        <x:f>拠点別設定値!Q6&amp;拠点別設定値!R6</x:f>
        <x:v>#NAME?</x:v>
      </x:c>
      <x:c r="J12" s="34" t="s">
        <x:v>212</x:v>
      </x:c>
      <x:c r="K12" s="34"/>
      <x:c r="L12" s="34" t="str">
        <x:f t="shared" si="0"/>
        <x:v>有</x:v>
      </x:c>
    </x:row>
    <x:row r="13" ht="18.75" customHeight="1">
      <x:c r="A13" s="34" t="e">
        <x:f>拠点別設定値!D6</x:f>
        <x:v>#NAME?</x:v>
      </x:c>
      <x:c r="B13" s="34" t="s">
        <x:v>147</x:v>
      </x:c>
      <x:c r="C13" s="34" t="s">
        <x:v>211</x:v>
      </x:c>
      <x:c r="D13" s="34" t="e">
        <x:f>拠点別設定値!BD6</x:f>
        <x:v>#NAME?</x:v>
      </x:c>
      <x:c r="E13" s="34">
        <x:v>2</x:v>
      </x:c>
      <x:c r="F13" s="34" t="e">
        <x:f>拠点別設定値!O6</x:f>
        <x:v>#NAME?</x:v>
      </x:c>
      <x:c r="G13" s="34">
        <x:v>2</x:v>
      </x:c>
      <x:c r="H13" s="34" t="e">
        <x:f>拠点別設定値!P6&amp;(拠点別設定値!R6+1)&amp;":"&amp;拠点別設定値!P6&amp;(拠点別設定値!R6+2)</x:f>
        <x:v>#NAME?</x:v>
      </x:c>
      <x:c r="I13" s="34" t="e">
        <x:f>拠点別設定値!Q6&amp;(拠点別設定値!R6+1)</x:f>
        <x:v>#NAME?</x:v>
      </x:c>
      <x:c r="J13" s="34" t="s">
        <x:v>213</x:v>
      </x:c>
      <x:c r="K13" s="34" t="s">
        <x:v>214</x:v>
      </x:c>
      <x:c r="L13" s="34" t="str">
        <x:f t="shared" si="0"/>
        <x:v>無</x:v>
      </x:c>
    </x:row>
    <x:row r="14" ht="14.25" customHeight="1">
      <x:c r="A14" s="34" t="e">
        <x:f>拠点別設定値!D7</x:f>
        <x:v>#NAME?</x:v>
      </x:c>
      <x:c r="B14" s="34" t="s">
        <x:v>146</x:v>
      </x:c>
      <x:c r="C14" s="34" t="s">
        <x:v>211</x:v>
      </x:c>
      <x:c r="D14" s="34" t="e">
        <x:f>拠点別設定値!BC7</x:f>
        <x:v>#NAME?</x:v>
      </x:c>
      <x:c r="E14" s="34">
        <x:v>2</x:v>
      </x:c>
      <x:c r="F14" s="34" t="e">
        <x:f>拠点別設定値!J7</x:f>
        <x:v>#NAME?</x:v>
      </x:c>
      <x:c r="G14" s="34">
        <x:v>1</x:v>
      </x:c>
      <x:c r="H14" s="34" t="e">
        <x:f>拠点別設定値!K7&amp;拠点別設定値!M7&amp;":"&amp;拠点別設定値!K7&amp;拠点別設定値!N7</x:f>
        <x:v>#NAME?</x:v>
      </x:c>
      <x:c r="I14" s="34" t="e">
        <x:f>拠点別設定値!L7&amp;拠点別設定値!M7</x:f>
        <x:v>#NAME?</x:v>
      </x:c>
      <x:c r="J14" s="34" t="s">
        <x:v>212</x:v>
      </x:c>
      <x:c r="K14" s="34"/>
      <x:c r="L14" s="34" t="str">
        <x:f t="shared" si="0"/>
        <x:v>有</x:v>
      </x:c>
    </x:row>
    <x:row r="15" ht="18.75" customHeight="1">
      <x:c r="A15" s="34" t="e">
        <x:f>拠点別設定値!D7</x:f>
        <x:v>#NAME?</x:v>
      </x:c>
      <x:c r="B15" s="34" t="s">
        <x:v>146</x:v>
      </x:c>
      <x:c r="C15" s="34" t="s">
        <x:v>211</x:v>
      </x:c>
      <x:c r="D15" s="34" t="e">
        <x:f>拠点別設定値!BC7</x:f>
        <x:v>#NAME?</x:v>
      </x:c>
      <x:c r="E15" s="34">
        <x:v>2</x:v>
      </x:c>
      <x:c r="F15" s="34" t="e">
        <x:f>拠点別設定値!J7</x:f>
        <x:v>#NAME?</x:v>
      </x:c>
      <x:c r="G15" s="34">
        <x:v>2</x:v>
      </x:c>
      <x:c r="H15" s="34" t="e">
        <x:f>拠点別設定値!K7&amp;(拠点別設定値!M7+1)&amp;":"&amp;拠点別設定値!K7&amp;(拠点別設定値!M7+2)</x:f>
        <x:v>#NAME?</x:v>
      </x:c>
      <x:c r="I15" s="34" t="e">
        <x:f>拠点別設定値!L7&amp;(拠点別設定値!M7+1)</x:f>
        <x:v>#NAME?</x:v>
      </x:c>
      <x:c r="J15" s="34" t="s">
        <x:v>213</x:v>
      </x:c>
      <x:c r="K15" s="34" t="s">
        <x:v>214</x:v>
      </x:c>
      <x:c r="L15" s="34" t="str">
        <x:f t="shared" si="0"/>
        <x:v>無</x:v>
      </x:c>
    </x:row>
    <x:row r="16" ht="14.25" customHeight="1">
      <x:c r="A16" s="34" t="e">
        <x:f>拠点別設定値!D7</x:f>
        <x:v>#NAME?</x:v>
      </x:c>
      <x:c r="B16" s="34" t="s">
        <x:v>147</x:v>
      </x:c>
      <x:c r="C16" s="34" t="s">
        <x:v>211</x:v>
      </x:c>
      <x:c r="D16" s="34" t="e">
        <x:f>拠点別設定値!BD7</x:f>
        <x:v>#NAME?</x:v>
      </x:c>
      <x:c r="E16" s="34">
        <x:v>2</x:v>
      </x:c>
      <x:c r="F16" s="34" t="e">
        <x:f>拠点別設定値!O7</x:f>
        <x:v>#NAME?</x:v>
      </x:c>
      <x:c r="G16" s="34">
        <x:v>1</x:v>
      </x:c>
      <x:c r="H16" s="34" t="e">
        <x:f>拠点別設定値!P7&amp;拠点別設定値!R7&amp;":"&amp;拠点別設定値!P7&amp;拠点別設定値!S7</x:f>
        <x:v>#NAME?</x:v>
      </x:c>
      <x:c r="I16" s="34" t="e">
        <x:f>拠点別設定値!Q7&amp;拠点別設定値!R7</x:f>
        <x:v>#NAME?</x:v>
      </x:c>
      <x:c r="J16" s="34" t="s">
        <x:v>212</x:v>
      </x:c>
      <x:c r="K16" s="34"/>
      <x:c r="L16" s="34" t="str">
        <x:f t="shared" si="0"/>
        <x:v>有</x:v>
      </x:c>
    </x:row>
    <x:row r="17" ht="18.75" customHeight="1">
      <x:c r="A17" s="34" t="e">
        <x:f>拠点別設定値!D7</x:f>
        <x:v>#NAME?</x:v>
      </x:c>
      <x:c r="B17" s="34" t="s">
        <x:v>147</x:v>
      </x:c>
      <x:c r="C17" s="34" t="s">
        <x:v>211</x:v>
      </x:c>
      <x:c r="D17" s="34" t="e">
        <x:f>拠点別設定値!BD7</x:f>
        <x:v>#NAME?</x:v>
      </x:c>
      <x:c r="E17" s="34">
        <x:v>2</x:v>
      </x:c>
      <x:c r="F17" s="34" t="e">
        <x:f>拠点別設定値!O7</x:f>
        <x:v>#NAME?</x:v>
      </x:c>
      <x:c r="G17" s="34">
        <x:v>2</x:v>
      </x:c>
      <x:c r="H17" s="34" t="e">
        <x:f>拠点別設定値!P7&amp;(拠点別設定値!R7+1)&amp;":"&amp;拠点別設定値!P7&amp;(拠点別設定値!R7+2)</x:f>
        <x:v>#NAME?</x:v>
      </x:c>
      <x:c r="I17" s="34" t="e">
        <x:f>拠点別設定値!Q7&amp;(拠点別設定値!R7+1)</x:f>
        <x:v>#NAME?</x:v>
      </x:c>
      <x:c r="J17" s="34" t="s">
        <x:v>213</x:v>
      </x:c>
      <x:c r="K17" s="34" t="s">
        <x:v>214</x:v>
      </x:c>
      <x:c r="L17" s="34" t="str">
        <x:f t="shared" si="0"/>
        <x:v>無</x:v>
      </x:c>
    </x:row>
    <x:row r="18" ht="14.25" customHeight="1">
      <x:c r="A18" s="35" t="e">
        <x:f>拠点別設定値!D7</x:f>
        <x:v>#NAME?</x:v>
      </x:c>
      <x:c r="B18" s="35" t="s">
        <x:v>146</x:v>
      </x:c>
      <x:c r="C18" s="35" t="s">
        <x:v>215</x:v>
      </x:c>
      <x:c r="D18" s="35" t="e">
        <x:f>拠点別設定値!BE7</x:f>
        <x:v>#NAME?</x:v>
      </x:c>
      <x:c r="E18" s="35">
        <x:v>2</x:v>
      </x:c>
      <x:c r="F18" s="35" t="e">
        <x:f>拠点別設定値!AL7</x:f>
        <x:v>#NAME?</x:v>
      </x:c>
      <x:c r="G18" s="35">
        <x:v>1</x:v>
      </x:c>
      <x:c r="H18" s="35" t="e">
        <x:f>拠点別設定値!AM7&amp;拠点別設定値!AO7&amp;":"&amp;拠点別設定値!AM7&amp;拠点別設定値!AP7</x:f>
        <x:v>#NAME?</x:v>
      </x:c>
      <x:c r="I18" s="35" t="e">
        <x:f>拠点別設定値!AN7&amp;拠点別設定値!AO7</x:f>
        <x:v>#NAME?</x:v>
      </x:c>
      <x:c r="J18" s="35" t="s">
        <x:v>212</x:v>
      </x:c>
      <x:c r="K18" s="35"/>
      <x:c r="L18" s="35" t="str">
        <x:f t="shared" si="0"/>
        <x:v>有</x:v>
      </x:c>
    </x:row>
    <x:row r="19" ht="18.75" customHeight="1">
      <x:c r="A19" s="35" t="e">
        <x:f>拠点別設定値!D7</x:f>
        <x:v>#NAME?</x:v>
      </x:c>
      <x:c r="B19" s="35" t="s">
        <x:v>146</x:v>
      </x:c>
      <x:c r="C19" s="35" t="s">
        <x:v>215</x:v>
      </x:c>
      <x:c r="D19" s="35" t="e">
        <x:f>拠点別設定値!BE7</x:f>
        <x:v>#NAME?</x:v>
      </x:c>
      <x:c r="E19" s="35">
        <x:v>2</x:v>
      </x:c>
      <x:c r="F19" s="35" t="e">
        <x:f>拠点別設定値!AL7</x:f>
        <x:v>#NAME?</x:v>
      </x:c>
      <x:c r="G19" s="35">
        <x:v>2</x:v>
      </x:c>
      <x:c r="H19" s="35" t="e">
        <x:f>拠点別設定値!AM7&amp;(拠点別設定値!AO7+1)&amp;":"&amp;拠点別設定値!AM7&amp;(拠点別設定値!AO7+2)</x:f>
        <x:v>#NAME?</x:v>
      </x:c>
      <x:c r="I19" s="35" t="e">
        <x:f>拠点別設定値!AN7&amp;(拠点別設定値!AO7+1)</x:f>
        <x:v>#NAME?</x:v>
      </x:c>
      <x:c r="J19" s="35" t="s">
        <x:v>213</x:v>
      </x:c>
      <x:c r="K19" s="35" t="s">
        <x:v>214</x:v>
      </x:c>
      <x:c r="L19" s="35" t="str">
        <x:f t="shared" si="0"/>
        <x:v>無</x:v>
      </x:c>
    </x:row>
    <x:row r="20" ht="14.25" customHeight="1">
      <x:c r="A20" s="35" t="e">
        <x:f>拠点別設定値!D7</x:f>
        <x:v>#NAME?</x:v>
      </x:c>
      <x:c r="B20" s="35" t="s">
        <x:v>147</x:v>
      </x:c>
      <x:c r="C20" s="35" t="s">
        <x:v>215</x:v>
      </x:c>
      <x:c r="D20" s="35" t="e">
        <x:f>拠点別設定値!BF7</x:f>
        <x:v>#NAME?</x:v>
      </x:c>
      <x:c r="E20" s="35">
        <x:v>2</x:v>
      </x:c>
      <x:c r="F20" s="35" t="e">
        <x:f>拠点別設定値!AQ7</x:f>
        <x:v>#NAME?</x:v>
      </x:c>
      <x:c r="G20" s="35">
        <x:v>1</x:v>
      </x:c>
      <x:c r="H20" s="35" t="e">
        <x:f>拠点別設定値!AR7&amp;拠点別設定値!AT7&amp;":"&amp;拠点別設定値!AR7&amp;拠点別設定値!AU7</x:f>
        <x:v>#NAME?</x:v>
      </x:c>
      <x:c r="I20" s="35" t="e">
        <x:f>拠点別設定値!AS7&amp;拠点別設定値!AT7</x:f>
        <x:v>#NAME?</x:v>
      </x:c>
      <x:c r="J20" s="35" t="s">
        <x:v>212</x:v>
      </x:c>
      <x:c r="K20" s="35"/>
      <x:c r="L20" s="35" t="str">
        <x:f t="shared" si="0"/>
        <x:v>有</x:v>
      </x:c>
    </x:row>
    <x:row r="21" ht="18.75" customHeight="1">
      <x:c r="A21" s="35" t="e">
        <x:f>拠点別設定値!D7</x:f>
        <x:v>#NAME?</x:v>
      </x:c>
      <x:c r="B21" s="35" t="s">
        <x:v>147</x:v>
      </x:c>
      <x:c r="C21" s="35" t="s">
        <x:v>215</x:v>
      </x:c>
      <x:c r="D21" s="35" t="e">
        <x:f>拠点別設定値!BF7</x:f>
        <x:v>#NAME?</x:v>
      </x:c>
      <x:c r="E21" s="35">
        <x:v>2</x:v>
      </x:c>
      <x:c r="F21" s="35" t="e">
        <x:f>拠点別設定値!AQ7</x:f>
        <x:v>#NAME?</x:v>
      </x:c>
      <x:c r="G21" s="35">
        <x:v>2</x:v>
      </x:c>
      <x:c r="H21" s="35" t="e">
        <x:f>拠点別設定値!AR7&amp;(拠点別設定値!AT7+1)&amp;":"&amp;拠点別設定値!AR7&amp;(拠点別設定値!AT7+2)</x:f>
        <x:v>#NAME?</x:v>
      </x:c>
      <x:c r="I21" s="35" t="e">
        <x:f>拠点別設定値!AS7&amp;(拠点別設定値!AT7+1)</x:f>
        <x:v>#NAME?</x:v>
      </x:c>
      <x:c r="J21" s="35" t="s">
        <x:v>213</x:v>
      </x:c>
      <x:c r="K21" s="35" t="s">
        <x:v>214</x:v>
      </x:c>
      <x:c r="L21" s="35" t="str">
        <x:f t="shared" si="0"/>
        <x:v>無</x:v>
      </x:c>
    </x:row>
    <x:row r="22" ht="14.25" customHeight="1">
      <x:c r="A22" s="34" t="e">
        <x:f>拠点別設定値!D8</x:f>
        <x:v>#NAME?</x:v>
      </x:c>
      <x:c r="B22" s="34" t="s">
        <x:v>146</x:v>
      </x:c>
      <x:c r="C22" s="34" t="s">
        <x:v>211</x:v>
      </x:c>
      <x:c r="D22" s="34" t="e">
        <x:f>拠点別設定値!BC8</x:f>
        <x:v>#NAME?</x:v>
      </x:c>
      <x:c r="E22" s="34">
        <x:v>2</x:v>
      </x:c>
      <x:c r="F22" s="34" t="e">
        <x:f>拠点別設定値!J8</x:f>
        <x:v>#NAME?</x:v>
      </x:c>
      <x:c r="G22" s="34">
        <x:v>1</x:v>
      </x:c>
      <x:c r="H22" s="34" t="e">
        <x:f>拠点別設定値!K8&amp;拠点別設定値!M8&amp;":"&amp;拠点別設定値!K8&amp;拠点別設定値!N8</x:f>
        <x:v>#NAME?</x:v>
      </x:c>
      <x:c r="I22" s="34" t="e">
        <x:f>拠点別設定値!L8&amp;拠点別設定値!M8</x:f>
        <x:v>#NAME?</x:v>
      </x:c>
      <x:c r="J22" s="34" t="s">
        <x:v>212</x:v>
      </x:c>
      <x:c r="K22" s="34"/>
      <x:c r="L22" s="34" t="str">
        <x:f t="shared" si="0"/>
        <x:v>有</x:v>
      </x:c>
    </x:row>
    <x:row r="23" ht="18.75" customHeight="1">
      <x:c r="A23" s="34" t="e">
        <x:f>拠点別設定値!D8</x:f>
        <x:v>#NAME?</x:v>
      </x:c>
      <x:c r="B23" s="34" t="s">
        <x:v>146</x:v>
      </x:c>
      <x:c r="C23" s="34" t="s">
        <x:v>211</x:v>
      </x:c>
      <x:c r="D23" s="34" t="e">
        <x:f>拠点別設定値!BC8</x:f>
        <x:v>#NAME?</x:v>
      </x:c>
      <x:c r="E23" s="34">
        <x:v>2</x:v>
      </x:c>
      <x:c r="F23" s="34" t="e">
        <x:f>拠点別設定値!J8</x:f>
        <x:v>#NAME?</x:v>
      </x:c>
      <x:c r="G23" s="34">
        <x:v>2</x:v>
      </x:c>
      <x:c r="H23" s="34" t="e">
        <x:f>拠点別設定値!K8&amp;(拠点別設定値!M8+1)&amp;":"&amp;拠点別設定値!K8&amp;(拠点別設定値!M8+2)</x:f>
        <x:v>#NAME?</x:v>
      </x:c>
      <x:c r="I23" s="34" t="e">
        <x:f>拠点別設定値!L8&amp;(拠点別設定値!M8+1)</x:f>
        <x:v>#NAME?</x:v>
      </x:c>
      <x:c r="J23" s="34" t="s">
        <x:v>213</x:v>
      </x:c>
      <x:c r="K23" s="34" t="s">
        <x:v>214</x:v>
      </x:c>
      <x:c r="L23" s="34" t="str">
        <x:f t="shared" si="0"/>
        <x:v>無</x:v>
      </x:c>
    </x:row>
    <x:row r="24" ht="14.25" customHeight="1">
      <x:c r="A24" s="34" t="e">
        <x:f>拠点別設定値!D8</x:f>
        <x:v>#NAME?</x:v>
      </x:c>
      <x:c r="B24" s="34" t="s">
        <x:v>147</x:v>
      </x:c>
      <x:c r="C24" s="34" t="s">
        <x:v>211</x:v>
      </x:c>
      <x:c r="D24" s="34" t="e">
        <x:f>拠点別設定値!BD8</x:f>
        <x:v>#NAME?</x:v>
      </x:c>
      <x:c r="E24" s="34">
        <x:v>2</x:v>
      </x:c>
      <x:c r="F24" s="34" t="e">
        <x:f>拠点別設定値!O8</x:f>
        <x:v>#NAME?</x:v>
      </x:c>
      <x:c r="G24" s="34">
        <x:v>1</x:v>
      </x:c>
      <x:c r="H24" s="34" t="e">
        <x:f>拠点別設定値!P8&amp;拠点別設定値!R8&amp;":"&amp;拠点別設定値!P8&amp;拠点別設定値!S8</x:f>
        <x:v>#NAME?</x:v>
      </x:c>
      <x:c r="I24" s="34" t="e">
        <x:f>拠点別設定値!Q8&amp;拠点別設定値!R8</x:f>
        <x:v>#NAME?</x:v>
      </x:c>
      <x:c r="J24" s="34" t="s">
        <x:v>212</x:v>
      </x:c>
      <x:c r="K24" s="34"/>
      <x:c r="L24" s="34" t="str">
        <x:f t="shared" si="0"/>
        <x:v>有</x:v>
      </x:c>
    </x:row>
    <x:row r="25" ht="18.75" customHeight="1">
      <x:c r="A25" s="34" t="e">
        <x:f>拠点別設定値!D8</x:f>
        <x:v>#NAME?</x:v>
      </x:c>
      <x:c r="B25" s="34" t="s">
        <x:v>147</x:v>
      </x:c>
      <x:c r="C25" s="34" t="s">
        <x:v>211</x:v>
      </x:c>
      <x:c r="D25" s="34" t="e">
        <x:f>拠点別設定値!BD8</x:f>
        <x:v>#NAME?</x:v>
      </x:c>
      <x:c r="E25" s="34">
        <x:v>2</x:v>
      </x:c>
      <x:c r="F25" s="34" t="e">
        <x:f>拠点別設定値!O8</x:f>
        <x:v>#NAME?</x:v>
      </x:c>
      <x:c r="G25" s="34">
        <x:v>2</x:v>
      </x:c>
      <x:c r="H25" s="34" t="e">
        <x:f>拠点別設定値!P8&amp;(拠点別設定値!R8+1)&amp;":"&amp;拠点別設定値!P8&amp;(拠点別設定値!R8+2)</x:f>
        <x:v>#NAME?</x:v>
      </x:c>
      <x:c r="I25" s="34" t="e">
        <x:f>拠点別設定値!Q8&amp;(拠点別設定値!R8+1)</x:f>
        <x:v>#NAME?</x:v>
      </x:c>
      <x:c r="J25" s="34" t="s">
        <x:v>213</x:v>
      </x:c>
      <x:c r="K25" s="34" t="s">
        <x:v>214</x:v>
      </x:c>
      <x:c r="L25" s="34" t="str">
        <x:f t="shared" si="0"/>
        <x:v>無</x:v>
      </x:c>
    </x:row>
    <x:row r="26" ht="14.25" customHeight="1">
      <x:c r="A26" s="34" t="e">
        <x:f>拠点別設定値!D9</x:f>
        <x:v>#NAME?</x:v>
      </x:c>
      <x:c r="B26" s="34" t="s">
        <x:v>146</x:v>
      </x:c>
      <x:c r="C26" s="34" t="s">
        <x:v>211</x:v>
      </x:c>
      <x:c r="D26" s="34" t="e">
        <x:f>拠点別設定値!BC9</x:f>
        <x:v>#NAME?</x:v>
      </x:c>
      <x:c r="E26" s="34">
        <x:v>2</x:v>
      </x:c>
      <x:c r="F26" s="34" t="e">
        <x:f>拠点別設定値!J9</x:f>
        <x:v>#NAME?</x:v>
      </x:c>
      <x:c r="G26" s="34">
        <x:v>1</x:v>
      </x:c>
      <x:c r="H26" s="34" t="e">
        <x:f>拠点別設定値!K9&amp;拠点別設定値!M9&amp;":"&amp;拠点別設定値!K9&amp;拠点別設定値!N9</x:f>
        <x:v>#NAME?</x:v>
      </x:c>
      <x:c r="I26" s="34" t="e">
        <x:f>拠点別設定値!L9&amp;拠点別設定値!M9</x:f>
        <x:v>#NAME?</x:v>
      </x:c>
      <x:c r="J26" s="34" t="s">
        <x:v>212</x:v>
      </x:c>
      <x:c r="K26" s="34"/>
      <x:c r="L26" s="34" t="str">
        <x:f t="shared" si="0"/>
        <x:v>有</x:v>
      </x:c>
    </x:row>
    <x:row r="27" ht="18.75" customHeight="1">
      <x:c r="A27" s="34" t="e">
        <x:f>拠点別設定値!D9</x:f>
        <x:v>#NAME?</x:v>
      </x:c>
      <x:c r="B27" s="34" t="s">
        <x:v>146</x:v>
      </x:c>
      <x:c r="C27" s="34" t="s">
        <x:v>211</x:v>
      </x:c>
      <x:c r="D27" s="34" t="e">
        <x:f>拠点別設定値!BC9</x:f>
        <x:v>#NAME?</x:v>
      </x:c>
      <x:c r="E27" s="34">
        <x:v>2</x:v>
      </x:c>
      <x:c r="F27" s="34" t="e">
        <x:f>拠点別設定値!J9</x:f>
        <x:v>#NAME?</x:v>
      </x:c>
      <x:c r="G27" s="34">
        <x:v>2</x:v>
      </x:c>
      <x:c r="H27" s="34" t="e">
        <x:f>拠点別設定値!K9&amp;(拠点別設定値!M9+1)&amp;":"&amp;拠点別設定値!K9&amp;(拠点別設定値!M9+2)</x:f>
        <x:v>#NAME?</x:v>
      </x:c>
      <x:c r="I27" s="34" t="e">
        <x:f>拠点別設定値!L9&amp;(拠点別設定値!M9+1)</x:f>
        <x:v>#NAME?</x:v>
      </x:c>
      <x:c r="J27" s="34" t="s">
        <x:v>213</x:v>
      </x:c>
      <x:c r="K27" s="34" t="s">
        <x:v>214</x:v>
      </x:c>
      <x:c r="L27" s="34" t="str">
        <x:f t="shared" si="0"/>
        <x:v>無</x:v>
      </x:c>
    </x:row>
    <x:row r="28" ht="14.25" customHeight="1">
      <x:c r="A28" s="34" t="e">
        <x:f>拠点別設定値!D9</x:f>
        <x:v>#NAME?</x:v>
      </x:c>
      <x:c r="B28" s="34" t="s">
        <x:v>147</x:v>
      </x:c>
      <x:c r="C28" s="34" t="s">
        <x:v>211</x:v>
      </x:c>
      <x:c r="D28" s="34" t="e">
        <x:f>拠点別設定値!BD9</x:f>
        <x:v>#NAME?</x:v>
      </x:c>
      <x:c r="E28" s="34">
        <x:v>2</x:v>
      </x:c>
      <x:c r="F28" s="34" t="e">
        <x:f>拠点別設定値!O9</x:f>
        <x:v>#NAME?</x:v>
      </x:c>
      <x:c r="G28" s="34">
        <x:v>1</x:v>
      </x:c>
      <x:c r="H28" s="34" t="e">
        <x:f>拠点別設定値!P9&amp;拠点別設定値!R9&amp;":"&amp;拠点別設定値!P9&amp;拠点別設定値!S9</x:f>
        <x:v>#NAME?</x:v>
      </x:c>
      <x:c r="I28" s="34" t="e">
        <x:f>拠点別設定値!Q9&amp;拠点別設定値!R9</x:f>
        <x:v>#NAME?</x:v>
      </x:c>
      <x:c r="J28" s="34" t="s">
        <x:v>212</x:v>
      </x:c>
      <x:c r="K28" s="34"/>
      <x:c r="L28" s="34" t="str">
        <x:f t="shared" si="0"/>
        <x:v>有</x:v>
      </x:c>
    </x:row>
    <x:row r="29" ht="18.75" customHeight="1">
      <x:c r="A29" s="34" t="e">
        <x:f>拠点別設定値!D9</x:f>
        <x:v>#NAME?</x:v>
      </x:c>
      <x:c r="B29" s="34" t="s">
        <x:v>147</x:v>
      </x:c>
      <x:c r="C29" s="34" t="s">
        <x:v>211</x:v>
      </x:c>
      <x:c r="D29" s="34" t="e">
        <x:f>拠点別設定値!BD9</x:f>
        <x:v>#NAME?</x:v>
      </x:c>
      <x:c r="E29" s="34">
        <x:v>2</x:v>
      </x:c>
      <x:c r="F29" s="34" t="e">
        <x:f>拠点別設定値!O9</x:f>
        <x:v>#NAME?</x:v>
      </x:c>
      <x:c r="G29" s="34">
        <x:v>2</x:v>
      </x:c>
      <x:c r="H29" s="34" t="e">
        <x:f>拠点別設定値!P9&amp;(拠点別設定値!R9+1)&amp;":"&amp;拠点別設定値!P9&amp;(拠点別設定値!R9+2)</x:f>
        <x:v>#NAME?</x:v>
      </x:c>
      <x:c r="I29" s="34" t="e">
        <x:f>拠点別設定値!Q9&amp;(拠点別設定値!R9+1)</x:f>
        <x:v>#NAME?</x:v>
      </x:c>
      <x:c r="J29" s="34" t="s">
        <x:v>213</x:v>
      </x:c>
      <x:c r="K29" s="34" t="s">
        <x:v>214</x:v>
      </x:c>
      <x:c r="L29" s="34" t="str">
        <x:f t="shared" si="0"/>
        <x:v>無</x:v>
      </x:c>
    </x:row>
    <x:row r="30" ht="14.25" customHeight="1">
      <x:c r="A30" s="34" t="e">
        <x:f>拠点別設定値!D10</x:f>
        <x:v>#NAME?</x:v>
      </x:c>
      <x:c r="B30" s="34" t="s">
        <x:v>146</x:v>
      </x:c>
      <x:c r="C30" s="34" t="s">
        <x:v>211</x:v>
      </x:c>
      <x:c r="D30" s="34" t="e">
        <x:f>拠点別設定値!BC10</x:f>
        <x:v>#NAME?</x:v>
      </x:c>
      <x:c r="E30" s="34">
        <x:v>2</x:v>
      </x:c>
      <x:c r="F30" s="34" t="e">
        <x:f>拠点別設定値!J10</x:f>
        <x:v>#NAME?</x:v>
      </x:c>
      <x:c r="G30" s="34">
        <x:v>1</x:v>
      </x:c>
      <x:c r="H30" s="34" t="e">
        <x:f>拠点別設定値!K10&amp;拠点別設定値!M10&amp;":"&amp;拠点別設定値!K10&amp;拠点別設定値!N10</x:f>
        <x:v>#NAME?</x:v>
      </x:c>
      <x:c r="I30" s="34" t="e">
        <x:f>拠点別設定値!L10&amp;拠点別設定値!M10</x:f>
        <x:v>#NAME?</x:v>
      </x:c>
      <x:c r="J30" s="34" t="s">
        <x:v>212</x:v>
      </x:c>
      <x:c r="K30" s="34"/>
      <x:c r="L30" s="34" t="str">
        <x:f t="shared" si="0"/>
        <x:v>有</x:v>
      </x:c>
    </x:row>
    <x:row r="31" ht="18.75" customHeight="1">
      <x:c r="A31" s="34" t="e">
        <x:f>拠点別設定値!D10</x:f>
        <x:v>#NAME?</x:v>
      </x:c>
      <x:c r="B31" s="34" t="s">
        <x:v>146</x:v>
      </x:c>
      <x:c r="C31" s="34" t="s">
        <x:v>211</x:v>
      </x:c>
      <x:c r="D31" s="34" t="e">
        <x:f>拠点別設定値!BC10</x:f>
        <x:v>#NAME?</x:v>
      </x:c>
      <x:c r="E31" s="34">
        <x:v>2</x:v>
      </x:c>
      <x:c r="F31" s="34" t="e">
        <x:f>拠点別設定値!J10</x:f>
        <x:v>#NAME?</x:v>
      </x:c>
      <x:c r="G31" s="34">
        <x:v>2</x:v>
      </x:c>
      <x:c r="H31" s="34" t="e">
        <x:f>拠点別設定値!K10&amp;(拠点別設定値!M10+1)&amp;":"&amp;拠点別設定値!K10&amp;(拠点別設定値!M10+2)</x:f>
        <x:v>#NAME?</x:v>
      </x:c>
      <x:c r="I31" s="34" t="e">
        <x:f>拠点別設定値!L10&amp;(拠点別設定値!M10+1)</x:f>
        <x:v>#NAME?</x:v>
      </x:c>
      <x:c r="J31" s="34" t="s">
        <x:v>213</x:v>
      </x:c>
      <x:c r="K31" s="34" t="s">
        <x:v>214</x:v>
      </x:c>
      <x:c r="L31" s="34" t="str">
        <x:f t="shared" si="0"/>
        <x:v>無</x:v>
      </x:c>
    </x:row>
    <x:row r="32" ht="14.25" customHeight="1">
      <x:c r="A32" s="34" t="e">
        <x:f>拠点別設定値!D10</x:f>
        <x:v>#NAME?</x:v>
      </x:c>
      <x:c r="B32" s="34" t="s">
        <x:v>147</x:v>
      </x:c>
      <x:c r="C32" s="34" t="s">
        <x:v>211</x:v>
      </x:c>
      <x:c r="D32" s="34" t="e">
        <x:f>拠点別設定値!BD10</x:f>
        <x:v>#NAME?</x:v>
      </x:c>
      <x:c r="E32" s="34">
        <x:v>2</x:v>
      </x:c>
      <x:c r="F32" s="34" t="e">
        <x:f>拠点別設定値!O10</x:f>
        <x:v>#NAME?</x:v>
      </x:c>
      <x:c r="G32" s="34">
        <x:v>1</x:v>
      </x:c>
      <x:c r="H32" s="34" t="e">
        <x:f>拠点別設定値!P10&amp;拠点別設定値!R10&amp;":"&amp;拠点別設定値!P10&amp;拠点別設定値!S10</x:f>
        <x:v>#NAME?</x:v>
      </x:c>
      <x:c r="I32" s="34" t="e">
        <x:f>拠点別設定値!Q10&amp;拠点別設定値!R10</x:f>
        <x:v>#NAME?</x:v>
      </x:c>
      <x:c r="J32" s="34" t="s">
        <x:v>212</x:v>
      </x:c>
      <x:c r="K32" s="34"/>
      <x:c r="L32" s="34" t="str">
        <x:f t="shared" si="0"/>
        <x:v>有</x:v>
      </x:c>
    </x:row>
    <x:row r="33" ht="18.75" customHeight="1">
      <x:c r="A33" s="34" t="e">
        <x:f>拠点別設定値!D10</x:f>
        <x:v>#NAME?</x:v>
      </x:c>
      <x:c r="B33" s="34" t="s">
        <x:v>147</x:v>
      </x:c>
      <x:c r="C33" s="34" t="s">
        <x:v>211</x:v>
      </x:c>
      <x:c r="D33" s="34" t="e">
        <x:f>拠点別設定値!BD10</x:f>
        <x:v>#NAME?</x:v>
      </x:c>
      <x:c r="E33" s="34">
        <x:v>2</x:v>
      </x:c>
      <x:c r="F33" s="34" t="e">
        <x:f>拠点別設定値!O10</x:f>
        <x:v>#NAME?</x:v>
      </x:c>
      <x:c r="G33" s="34">
        <x:v>2</x:v>
      </x:c>
      <x:c r="H33" s="34" t="e">
        <x:f>拠点別設定値!P10&amp;(拠点別設定値!R10+1)&amp;":"&amp;拠点別設定値!P10&amp;(拠点別設定値!R10+2)</x:f>
        <x:v>#NAME?</x:v>
      </x:c>
      <x:c r="I33" s="34" t="e">
        <x:f>拠点別設定値!Q10&amp;(拠点別設定値!R10+1)</x:f>
        <x:v>#NAME?</x:v>
      </x:c>
      <x:c r="J33" s="34" t="s">
        <x:v>213</x:v>
      </x:c>
      <x:c r="K33" s="34" t="s">
        <x:v>214</x:v>
      </x:c>
      <x:c r="L33" s="34" t="str">
        <x:f t="shared" si="0"/>
        <x:v>無</x:v>
      </x:c>
    </x:row>
    <x:row r="34" ht="14.25" customHeight="1">
      <x:c r="A34" s="34" t="e">
        <x:f>拠点別設定値!D11</x:f>
        <x:v>#NAME?</x:v>
      </x:c>
      <x:c r="B34" s="34" t="s">
        <x:v>146</x:v>
      </x:c>
      <x:c r="C34" s="34" t="s">
        <x:v>211</x:v>
      </x:c>
      <x:c r="D34" s="34" t="e">
        <x:f>拠点別設定値!BC11</x:f>
        <x:v>#NAME?</x:v>
      </x:c>
      <x:c r="E34" s="34">
        <x:v>2</x:v>
      </x:c>
      <x:c r="F34" s="34" t="e">
        <x:f>拠点別設定値!J11</x:f>
        <x:v>#NAME?</x:v>
      </x:c>
      <x:c r="G34" s="34">
        <x:v>1</x:v>
      </x:c>
      <x:c r="H34" s="34" t="e">
        <x:f>拠点別設定値!K11&amp;拠点別設定値!M11&amp;":"&amp;拠点別設定値!K11&amp;拠点別設定値!N11</x:f>
        <x:v>#NAME?</x:v>
      </x:c>
      <x:c r="I34" s="34" t="e">
        <x:f>拠点別設定値!L11&amp;拠点別設定値!M11</x:f>
        <x:v>#NAME?</x:v>
      </x:c>
      <x:c r="J34" s="34" t="s">
        <x:v>212</x:v>
      </x:c>
      <x:c r="K34" s="34"/>
      <x:c r="L34" s="34" t="str">
        <x:f t="shared" si="0"/>
        <x:v>有</x:v>
      </x:c>
    </x:row>
    <x:row r="35" ht="18.75" customHeight="1">
      <x:c r="A35" s="34" t="e">
        <x:f>拠点別設定値!D11</x:f>
        <x:v>#NAME?</x:v>
      </x:c>
      <x:c r="B35" s="34" t="s">
        <x:v>146</x:v>
      </x:c>
      <x:c r="C35" s="34" t="s">
        <x:v>211</x:v>
      </x:c>
      <x:c r="D35" s="34" t="e">
        <x:f>拠点別設定値!BC11</x:f>
        <x:v>#NAME?</x:v>
      </x:c>
      <x:c r="E35" s="34">
        <x:v>2</x:v>
      </x:c>
      <x:c r="F35" s="34" t="e">
        <x:f>拠点別設定値!J11</x:f>
        <x:v>#NAME?</x:v>
      </x:c>
      <x:c r="G35" s="34">
        <x:v>2</x:v>
      </x:c>
      <x:c r="H35" s="34" t="e">
        <x:f>拠点別設定値!K11&amp;(拠点別設定値!M11+1)&amp;":"&amp;拠点別設定値!K11&amp;(拠点別設定値!M11+2)</x:f>
        <x:v>#NAME?</x:v>
      </x:c>
      <x:c r="I35" s="34" t="e">
        <x:f>拠点別設定値!L11&amp;(拠点別設定値!M11+1)</x:f>
        <x:v>#NAME?</x:v>
      </x:c>
      <x:c r="J35" s="34" t="s">
        <x:v>213</x:v>
      </x:c>
      <x:c r="K35" s="34" t="s">
        <x:v>214</x:v>
      </x:c>
      <x:c r="L35" s="34" t="str">
        <x:f t="shared" si="0"/>
        <x:v>無</x:v>
      </x:c>
    </x:row>
    <x:row r="36" ht="14.25" customHeight="1">
      <x:c r="A36" s="34" t="e">
        <x:f>拠点別設定値!D11</x:f>
        <x:v>#NAME?</x:v>
      </x:c>
      <x:c r="B36" s="34" t="s">
        <x:v>147</x:v>
      </x:c>
      <x:c r="C36" s="34" t="s">
        <x:v>211</x:v>
      </x:c>
      <x:c r="D36" s="34" t="e">
        <x:f>拠点別設定値!BD11</x:f>
        <x:v>#NAME?</x:v>
      </x:c>
      <x:c r="E36" s="34">
        <x:v>2</x:v>
      </x:c>
      <x:c r="F36" s="34" t="e">
        <x:f>拠点別設定値!O11</x:f>
        <x:v>#NAME?</x:v>
      </x:c>
      <x:c r="G36" s="34">
        <x:v>1</x:v>
      </x:c>
      <x:c r="H36" s="34" t="e">
        <x:f>拠点別設定値!P11&amp;拠点別設定値!R11&amp;":"&amp;拠点別設定値!P11&amp;拠点別設定値!S11</x:f>
        <x:v>#NAME?</x:v>
      </x:c>
      <x:c r="I36" s="34" t="e">
        <x:f>拠点別設定値!Q11&amp;拠点別設定値!R11</x:f>
        <x:v>#NAME?</x:v>
      </x:c>
      <x:c r="J36" s="34" t="s">
        <x:v>212</x:v>
      </x:c>
      <x:c r="K36" s="34"/>
      <x:c r="L36" s="34" t="str">
        <x:f t="shared" si="0"/>
        <x:v>有</x:v>
      </x:c>
    </x:row>
    <x:row r="37" ht="18.75" customHeight="1">
      <x:c r="A37" s="34" t="e">
        <x:f>拠点別設定値!D11</x:f>
        <x:v>#NAME?</x:v>
      </x:c>
      <x:c r="B37" s="34" t="s">
        <x:v>147</x:v>
      </x:c>
      <x:c r="C37" s="34" t="s">
        <x:v>211</x:v>
      </x:c>
      <x:c r="D37" s="34" t="e">
        <x:f>拠点別設定値!BD11</x:f>
        <x:v>#NAME?</x:v>
      </x:c>
      <x:c r="E37" s="34">
        <x:v>2</x:v>
      </x:c>
      <x:c r="F37" s="34" t="e">
        <x:f>拠点別設定値!O11</x:f>
        <x:v>#NAME?</x:v>
      </x:c>
      <x:c r="G37" s="34">
        <x:v>2</x:v>
      </x:c>
      <x:c r="H37" s="34" t="e">
        <x:f>拠点別設定値!P11&amp;(拠点別設定値!R11+1)&amp;":"&amp;拠点別設定値!P11&amp;(拠点別設定値!R11+2)</x:f>
        <x:v>#NAME?</x:v>
      </x:c>
      <x:c r="I37" s="34" t="e">
        <x:f>拠点別設定値!Q11&amp;(拠点別設定値!R11+1)</x:f>
        <x:v>#NAME?</x:v>
      </x:c>
      <x:c r="J37" s="34" t="s">
        <x:v>213</x:v>
      </x:c>
      <x:c r="K37" s="34" t="s">
        <x:v>214</x:v>
      </x:c>
      <x:c r="L37" s="34" t="str">
        <x:f t="shared" si="0"/>
        <x:v>無</x:v>
      </x:c>
    </x:row>
    <x:row r="38" ht="14.25" customHeight="1">
      <x:c r="A38" s="35" t="e">
        <x:f>拠点別設定値!D12</x:f>
        <x:v>#NAME?</x:v>
      </x:c>
      <x:c r="B38" s="35" t="s">
        <x:v>146</x:v>
      </x:c>
      <x:c r="C38" s="35" t="s">
        <x:v>215</x:v>
      </x:c>
      <x:c r="D38" s="35" t="e">
        <x:f>拠点別設定値!BE12</x:f>
        <x:v>#NAME?</x:v>
      </x:c>
      <x:c r="E38" s="35">
        <x:v>2</x:v>
      </x:c>
      <x:c r="F38" s="35" t="e">
        <x:f>拠点別設定値!AL12</x:f>
        <x:v>#NAME?</x:v>
      </x:c>
      <x:c r="G38" s="35">
        <x:v>1</x:v>
      </x:c>
      <x:c r="H38" s="35" t="e">
        <x:f>拠点別設定値!AM12&amp;拠点別設定値!AO12&amp;":"&amp;拠点別設定値!AM12&amp;拠点別設定値!AP12</x:f>
        <x:v>#NAME?</x:v>
      </x:c>
      <x:c r="I38" s="35" t="e">
        <x:f>拠点別設定値!AN12&amp;拠点別設定値!AO12</x:f>
        <x:v>#NAME?</x:v>
      </x:c>
      <x:c r="J38" s="35" t="s">
        <x:v>212</x:v>
      </x:c>
      <x:c r="K38" s="35"/>
      <x:c r="L38" s="35" t="str">
        <x:f t="shared" si="0"/>
        <x:v>有</x:v>
      </x:c>
    </x:row>
    <x:row r="39" ht="18.75" customHeight="1">
      <x:c r="A39" s="35" t="e">
        <x:f>拠点別設定値!D12</x:f>
        <x:v>#NAME?</x:v>
      </x:c>
      <x:c r="B39" s="35" t="s">
        <x:v>146</x:v>
      </x:c>
      <x:c r="C39" s="35" t="s">
        <x:v>215</x:v>
      </x:c>
      <x:c r="D39" s="35" t="e">
        <x:f>拠点別設定値!BE12</x:f>
        <x:v>#NAME?</x:v>
      </x:c>
      <x:c r="E39" s="35">
        <x:v>2</x:v>
      </x:c>
      <x:c r="F39" s="35" t="e">
        <x:f>拠点別設定値!AL12</x:f>
        <x:v>#NAME?</x:v>
      </x:c>
      <x:c r="G39" s="35">
        <x:v>2</x:v>
      </x:c>
      <x:c r="H39" s="35" t="e">
        <x:f>拠点別設定値!AM12&amp;(拠点別設定値!AO12+1)&amp;":"&amp;拠点別設定値!AM12&amp;(拠点別設定値!AO12+2)</x:f>
        <x:v>#NAME?</x:v>
      </x:c>
      <x:c r="I39" s="35" t="e">
        <x:f>拠点別設定値!AN12&amp;(拠点別設定値!AO12+1)</x:f>
        <x:v>#NAME?</x:v>
      </x:c>
      <x:c r="J39" s="35" t="s">
        <x:v>213</x:v>
      </x:c>
      <x:c r="K39" s="35" t="s">
        <x:v>214</x:v>
      </x:c>
      <x:c r="L39" s="35" t="str">
        <x:f t="shared" si="0"/>
        <x:v>無</x:v>
      </x:c>
    </x:row>
    <x:row r="40" ht="14.25" customHeight="1">
      <x:c r="A40" s="35" t="e">
        <x:f>拠点別設定値!D12</x:f>
        <x:v>#NAME?</x:v>
      </x:c>
      <x:c r="B40" s="35" t="s">
        <x:v>147</x:v>
      </x:c>
      <x:c r="C40" s="35" t="s">
        <x:v>215</x:v>
      </x:c>
      <x:c r="D40" s="35" t="e">
        <x:f>拠点別設定値!BF12</x:f>
        <x:v>#NAME?</x:v>
      </x:c>
      <x:c r="E40" s="35">
        <x:v>2</x:v>
      </x:c>
      <x:c r="F40" s="35" t="e">
        <x:f>拠点別設定値!AQ12</x:f>
        <x:v>#NAME?</x:v>
      </x:c>
      <x:c r="G40" s="35">
        <x:v>1</x:v>
      </x:c>
      <x:c r="H40" s="35" t="e">
        <x:f>拠点別設定値!AR12&amp;拠点別設定値!AT12&amp;":"&amp;拠点別設定値!AR12&amp;拠点別設定値!AU12</x:f>
        <x:v>#NAME?</x:v>
      </x:c>
      <x:c r="I40" s="35" t="e">
        <x:f>拠点別設定値!AS12&amp;拠点別設定値!AT12</x:f>
        <x:v>#NAME?</x:v>
      </x:c>
      <x:c r="J40" s="35" t="s">
        <x:v>212</x:v>
      </x:c>
      <x:c r="K40" s="35"/>
      <x:c r="L40" s="35" t="str">
        <x:f t="shared" si="0"/>
        <x:v>有</x:v>
      </x:c>
    </x:row>
    <x:row r="41" ht="18.75" customHeight="1">
      <x:c r="A41" s="35" t="e">
        <x:f>拠点別設定値!D12</x:f>
        <x:v>#NAME?</x:v>
      </x:c>
      <x:c r="B41" s="35" t="s">
        <x:v>147</x:v>
      </x:c>
      <x:c r="C41" s="35" t="s">
        <x:v>215</x:v>
      </x:c>
      <x:c r="D41" s="35" t="e">
        <x:f>拠点別設定値!BF12</x:f>
        <x:v>#NAME?</x:v>
      </x:c>
      <x:c r="E41" s="35">
        <x:v>2</x:v>
      </x:c>
      <x:c r="F41" s="35" t="e">
        <x:f>拠点別設定値!AQ12</x:f>
        <x:v>#NAME?</x:v>
      </x:c>
      <x:c r="G41" s="35">
        <x:v>2</x:v>
      </x:c>
      <x:c r="H41" s="35" t="e">
        <x:f>拠点別設定値!AR12&amp;(拠点別設定値!AT12+1)&amp;":"&amp;拠点別設定値!AR12&amp;(拠点別設定値!AT12+2)</x:f>
        <x:v>#NAME?</x:v>
      </x:c>
      <x:c r="I41" s="35" t="e">
        <x:f>拠点別設定値!AS12&amp;(拠点別設定値!AT12+1)</x:f>
        <x:v>#NAME?</x:v>
      </x:c>
      <x:c r="J41" s="35" t="s">
        <x:v>213</x:v>
      </x:c>
      <x:c r="K41" s="35" t="s">
        <x:v>214</x:v>
      </x:c>
      <x:c r="L41" s="35" t="str">
        <x:f t="shared" si="0"/>
        <x:v>無</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8.375" defaultRowHeight="13.5"/>
  <x:cols>
    <x:col min="1" max="1" width="16" customWidth="1"/>
    <x:col min="2" max="2" width="22" customWidth="1"/>
    <x:col min="3" max="3" width="10" customWidth="1"/>
    <x:col min="4" max="4" width="46" customWidth="1"/>
    <x:col min="5" max="5" width="30" customWidth="1"/>
  </x:cols>
  <x:sheetData>
    <x:row r="1" ht="19.5" customHeight="1">
      <x:c r="A1" s="17" t="s">
        <x:v>200</x:v>
      </x:c>
      <x:c r="B1" s="17" t="s">
        <x:v>216</x:v>
      </x:c>
      <x:c r="C1" s="17" t="s">
        <x:v>217</x:v>
      </x:c>
      <x:c r="D1" s="17" t="s">
        <x:v>218</x:v>
      </x:c>
      <x:c r="E1" s="17" t="s">
        <x:v>209</x:v>
      </x:c>
    </x:row>
    <x:row r="2" ht="16.5" customHeight="1">
      <x:c r="A2" s="99" t="s">
        <x:v>71</x:v>
      </x:c>
      <x:c r="B2" s="36" t="s">
        <x:v>3</x:v>
      </x:c>
      <x:c r="C2" s="36" t="s">
        <x:v>219</x:v>
      </x:c>
      <x:c r="D2" s="37" t="s">
        <x:v>220</x:v>
      </x:c>
      <x:c r="E2" s="37"/>
    </x:row>
    <x:row r="3" ht="16.5" customHeight="1">
      <x:c r="A3" s="101"/>
      <x:c r="B3" s="36" t="s">
        <x:v>4</x:v>
      </x:c>
      <x:c r="C3" s="36" t="s">
        <x:v>219</x:v>
      </x:c>
      <x:c r="D3" s="38" t="s">
        <x:v>221</x:v>
      </x:c>
      <x:c r="E3" s="38"/>
    </x:row>
    <x:row r="4" ht="16.5" customHeight="1">
      <x:c r="A4" s="101"/>
      <x:c r="B4" s="39" t="s">
        <x:v>77</x:v>
      </x:c>
      <x:c r="C4" s="36" t="s">
        <x:v>219</x:v>
      </x:c>
      <x:c r="D4" s="37" t="s">
        <x:v>222</x:v>
      </x:c>
      <x:c r="E4" s="38" t="s">
        <x:v>223</x:v>
      </x:c>
    </x:row>
    <x:row r="5" ht="16.5" customHeight="1">
      <x:c r="A5" s="101"/>
      <x:c r="B5" s="39" t="s">
        <x:v>78</x:v>
      </x:c>
      <x:c r="C5" s="36" t="s">
        <x:v>219</x:v>
      </x:c>
      <x:c r="D5" s="37" t="s">
        <x:v>224</x:v>
      </x:c>
      <x:c r="E5" s="38"/>
    </x:row>
    <x:row r="6" ht="16.5" customHeight="1">
      <x:c r="A6" s="101"/>
      <x:c r="B6" s="36" t="s">
        <x:v>79</x:v>
      </x:c>
      <x:c r="C6" s="36" t="s">
        <x:v>219</x:v>
      </x:c>
      <x:c r="D6" s="38" t="s">
        <x:v>225</x:v>
      </x:c>
      <x:c r="E6" s="38"/>
    </x:row>
    <x:row r="7" ht="16.5" customHeight="1">
      <x:c r="A7" s="100"/>
      <x:c r="B7" s="36" t="s">
        <x:v>81</x:v>
      </x:c>
      <x:c r="C7" s="36" t="s">
        <x:v>219</x:v>
      </x:c>
      <x:c r="D7" s="38" t="s">
        <x:v>226</x:v>
      </x:c>
      <x:c r="E7" s="38"/>
    </x:row>
    <x:row r="8" ht="16.5" customHeight="1">
      <x:c r="A8" s="99" t="s">
        <x:v>227</x:v>
      </x:c>
      <x:c r="B8" s="36" t="s">
        <x:v>82</x:v>
      </x:c>
      <x:c r="C8" s="36" t="s">
        <x:v>228</x:v>
      </x:c>
      <x:c r="D8" s="38" t="s">
        <x:v>229</x:v>
      </x:c>
      <x:c r="E8" s="38" t="s">
        <x:v>230</x:v>
      </x:c>
    </x:row>
    <x:row r="9" ht="16.5" customHeight="1">
      <x:c r="A9" s="101"/>
      <x:c r="B9" s="36" t="s">
        <x:v>83</x:v>
      </x:c>
      <x:c r="C9" s="36" t="s">
        <x:v>231</x:v>
      </x:c>
      <x:c r="D9" s="38" t="s">
        <x:v>232</x:v>
      </x:c>
      <x:c r="E9" s="38"/>
    </x:row>
    <x:row r="10" ht="16.5" customHeight="1">
      <x:c r="A10" s="101"/>
      <x:c r="B10" s="36" t="s">
        <x:v>84</x:v>
      </x:c>
      <x:c r="C10" s="36" t="s">
        <x:v>231</x:v>
      </x:c>
      <x:c r="D10" s="38" t="s">
        <x:v>233</x:v>
      </x:c>
      <x:c r="E10" s="38"/>
    </x:row>
    <x:row r="11" ht="16.5" customHeight="1">
      <x:c r="A11" s="101"/>
      <x:c r="B11" s="36" t="s">
        <x:v>85</x:v>
      </x:c>
      <x:c r="C11" s="36" t="s">
        <x:v>228</x:v>
      </x:c>
      <x:c r="D11" s="38" t="s">
        <x:v>234</x:v>
      </x:c>
      <x:c r="E11" s="38" t="s">
        <x:v>235</x:v>
      </x:c>
    </x:row>
    <x:row r="12" ht="16.5" customHeight="1">
      <x:c r="A12" s="100"/>
      <x:c r="B12" s="36" t="s">
        <x:v>86</x:v>
      </x:c>
      <x:c r="C12" s="36" t="s">
        <x:v>228</x:v>
      </x:c>
      <x:c r="D12" s="38" t="s">
        <x:v>236</x:v>
      </x:c>
      <x:c r="E12" s="38" t="s">
        <x:v>235</x:v>
      </x:c>
    </x:row>
    <x:row r="13" ht="16.5" customHeight="1">
      <x:c r="A13" s="99" t="s">
        <x:v>237</x:v>
      </x:c>
      <x:c r="B13" s="36" t="s">
        <x:v>87</x:v>
      </x:c>
      <x:c r="C13" s="36" t="s">
        <x:v>228</x:v>
      </x:c>
      <x:c r="D13" s="38" t="s">
        <x:v>238</x:v>
      </x:c>
      <x:c r="E13" s="38" t="s">
        <x:v>230</x:v>
      </x:c>
    </x:row>
    <x:row r="14" ht="16.5" customHeight="1">
      <x:c r="A14" s="101"/>
      <x:c r="B14" s="36" t="s">
        <x:v>88</x:v>
      </x:c>
      <x:c r="C14" s="36" t="s">
        <x:v>231</x:v>
      </x:c>
      <x:c r="D14" s="38" t="s">
        <x:v>239</x:v>
      </x:c>
      <x:c r="E14" s="38"/>
    </x:row>
    <x:row r="15" ht="16.5" customHeight="1">
      <x:c r="A15" s="101"/>
      <x:c r="B15" s="36" t="s">
        <x:v>89</x:v>
      </x:c>
      <x:c r="C15" s="36" t="s">
        <x:v>231</x:v>
      </x:c>
      <x:c r="D15" s="38" t="s">
        <x:v>240</x:v>
      </x:c>
      <x:c r="E15" s="38"/>
    </x:row>
    <x:row r="16" ht="16.5" customHeight="1">
      <x:c r="A16" s="101"/>
      <x:c r="B16" s="36" t="s">
        <x:v>90</x:v>
      </x:c>
      <x:c r="C16" s="36" t="s">
        <x:v>228</x:v>
      </x:c>
      <x:c r="D16" s="38" t="s">
        <x:v>241</x:v>
      </x:c>
      <x:c r="E16" s="38" t="s">
        <x:v>235</x:v>
      </x:c>
    </x:row>
    <x:row r="17" ht="16.5" customHeight="1">
      <x:c r="A17" s="100"/>
      <x:c r="B17" s="36" t="s">
        <x:v>91</x:v>
      </x:c>
      <x:c r="C17" s="36" t="s">
        <x:v>228</x:v>
      </x:c>
      <x:c r="D17" s="38" t="s">
        <x:v>242</x:v>
      </x:c>
      <x:c r="E17" s="38" t="s">
        <x:v>235</x:v>
      </x:c>
    </x:row>
    <x:row r="18" ht="16.5" customHeight="1">
      <x:c r="A18" s="102" t="s">
        <x:v>243</x:v>
      </x:c>
      <x:c r="B18" s="39" t="s">
        <x:v>92</x:v>
      </x:c>
      <x:c r="C18" s="36" t="s">
        <x:v>231</x:v>
      </x:c>
      <x:c r="D18" s="37" t="s">
        <x:v>244</x:v>
      </x:c>
      <x:c r="E18" s="38"/>
    </x:row>
    <x:row r="19" ht="16.5" customHeight="1">
      <x:c r="A19" s="101"/>
      <x:c r="B19" s="39" t="s">
        <x:v>93</x:v>
      </x:c>
      <x:c r="C19" s="36" t="s">
        <x:v>228</x:v>
      </x:c>
      <x:c r="D19" s="37" t="s">
        <x:v>245</x:v>
      </x:c>
      <x:c r="E19" s="38" t="s">
        <x:v>246</x:v>
      </x:c>
    </x:row>
    <x:row r="20" ht="16.5" customHeight="1">
      <x:c r="A20" s="100"/>
      <x:c r="B20" s="36" t="s">
        <x:v>94</x:v>
      </x:c>
      <x:c r="C20" s="36" t="s">
        <x:v>228</x:v>
      </x:c>
      <x:c r="D20" s="38" t="s">
        <x:v>247</x:v>
      </x:c>
      <x:c r="E20" s="38" t="s">
        <x:v>248</x:v>
      </x:c>
    </x:row>
    <x:row r="21" ht="16.5" customHeight="1">
      <x:c r="A21" s="99" t="s">
        <x:v>249</x:v>
      </x:c>
      <x:c r="B21" s="36" t="s">
        <x:v>95</x:v>
      </x:c>
      <x:c r="C21" s="36" t="s">
        <x:v>250</x:v>
      </x:c>
      <x:c r="D21" s="38" t="s">
        <x:v>251</x:v>
      </x:c>
      <x:c r="E21" s="38" t="s">
        <x:v>252</x:v>
      </x:c>
    </x:row>
    <x:row r="22" ht="33" customHeight="1">
      <x:c r="A22" s="101"/>
      <x:c r="B22" s="36" t="s">
        <x:v>96</x:v>
      </x:c>
      <x:c r="C22" s="36" t="s">
        <x:v>250</x:v>
      </x:c>
      <x:c r="D22" s="38" t="s">
        <x:v>253</x:v>
      </x:c>
      <x:c r="E22" s="38" t="s">
        <x:v>252</x:v>
      </x:c>
    </x:row>
    <x:row r="23" ht="16.5" customHeight="1">
      <x:c r="A23" s="101"/>
      <x:c r="B23" s="39" t="s">
        <x:v>97</x:v>
      </x:c>
      <x:c r="C23" s="36" t="s">
        <x:v>250</x:v>
      </x:c>
      <x:c r="D23" s="38" t="s">
        <x:v>254</x:v>
      </x:c>
      <x:c r="E23" s="38" t="s">
        <x:v>255</x:v>
      </x:c>
    </x:row>
    <x:row r="24" ht="33" customHeight="1">
      <x:c r="A24" s="101"/>
      <x:c r="B24" s="39" t="s">
        <x:v>98</x:v>
      </x:c>
      <x:c r="C24" s="36" t="s">
        <x:v>250</x:v>
      </x:c>
      <x:c r="D24" s="37" t="s">
        <x:v>256</x:v>
      </x:c>
      <x:c r="E24" s="37" t="s">
        <x:v>257</x:v>
      </x:c>
    </x:row>
    <x:row r="25" ht="16.5" customHeight="1">
      <x:c r="A25" s="101"/>
      <x:c r="B25" s="36" t="s">
        <x:v>99</x:v>
      </x:c>
      <x:c r="C25" s="36" t="s">
        <x:v>250</x:v>
      </x:c>
      <x:c r="D25" s="37" t="s">
        <x:v>258</x:v>
      </x:c>
      <x:c r="E25" s="37" t="s">
        <x:v>259</x:v>
      </x:c>
    </x:row>
    <x:row r="26" ht="16.5" customHeight="1">
      <x:c r="A26" s="100"/>
      <x:c r="B26" s="39" t="s">
        <x:v>100</x:v>
      </x:c>
      <x:c r="C26" s="36" t="s">
        <x:v>250</x:v>
      </x:c>
      <x:c r="D26" s="37" t="s">
        <x:v>260</x:v>
      </x:c>
      <x:c r="E26" s="38" t="s">
        <x:v>261</x:v>
      </x:c>
    </x:row>
    <x:row r="27" ht="16.5" customHeight="1">
      <x:c r="A27" s="99" t="s">
        <x:v>262</x:v>
      </x:c>
      <x:c r="B27" s="36" t="s">
        <x:v>101</x:v>
      </x:c>
      <x:c r="C27" s="36" t="s">
        <x:v>250</x:v>
      </x:c>
      <x:c r="D27" s="37" t="s">
        <x:v>263</x:v>
      </x:c>
      <x:c r="E27" s="38" t="s">
        <x:v>252</x:v>
      </x:c>
    </x:row>
    <x:row r="28" ht="16.5" customHeight="1">
      <x:c r="A28" s="100"/>
      <x:c r="B28" s="40" t="s">
        <x:v>102</x:v>
      </x:c>
      <x:c r="C28" s="40" t="s">
        <x:v>219</x:v>
      </x:c>
      <x:c r="D28" s="41" t="s">
        <x:v>264</x:v>
      </x:c>
      <x:c r="E28" s="42" t="s">
        <x:v>265</x:v>
      </x:c>
    </x:row>
    <x:row r="29" ht="26.25" customHeight="1">
      <x:c r="A29" s="43" t="s">
        <x:v>266</x:v>
      </x:c>
      <x:c r="B29" s="44" t="s">
        <x:v>103</x:v>
      </x:c>
      <x:c r="C29" s="43" t="s">
        <x:v>228</x:v>
      </x:c>
      <x:c r="D29" s="44" t="s">
        <x:v>267</x:v>
      </x:c>
      <x:c r="E29" s="43" t="s">
        <x:v>268</x:v>
      </x:c>
    </x:row>
    <x:row r="30" ht="13.5" customHeight="1">
      <x:c r="A30" s="44"/>
      <x:c r="B30" s="43" t="s">
        <x:v>104</x:v>
      </x:c>
      <x:c r="C30" s="43" t="s">
        <x:v>219</x:v>
      </x:c>
      <x:c r="D30" s="44" t="s">
        <x:v>269</x:v>
      </x:c>
      <x:c r="E30" s="44" t="s">
        <x:v>270</x:v>
      </x:c>
    </x:row>
    <x:row r="31" ht="13.5" customHeight="1">
      <x:c r="A31" s="44"/>
      <x:c r="B31" s="43" t="s">
        <x:v>105</x:v>
      </x:c>
      <x:c r="C31" s="43" t="s">
        <x:v>219</x:v>
      </x:c>
      <x:c r="D31" s="44" t="s">
        <x:v>271</x:v>
      </x:c>
      <x:c r="E31" s="44" t="s">
        <x:v>272</x:v>
      </x:c>
    </x:row>
    <x:row r="32" ht="13.5" customHeight="1">
      <x:c r="A32" s="44"/>
      <x:c r="B32" s="43" t="s">
        <x:v>106</x:v>
      </x:c>
      <x:c r="C32" s="43" t="s">
        <x:v>219</x:v>
      </x:c>
      <x:c r="D32" s="44" t="s">
        <x:v>273</x:v>
      </x:c>
      <x:c r="E32" s="43" t="s">
        <x:v>274</x:v>
      </x:c>
    </x:row>
    <x:row r="33" ht="13.5" customHeight="1">
      <x:c r="A33" s="44"/>
      <x:c r="B33" s="43" t="s">
        <x:v>107</x:v>
      </x:c>
      <x:c r="C33" s="43" t="s">
        <x:v>275</x:v>
      </x:c>
      <x:c r="D33" s="43" t="s">
        <x:v>276</x:v>
      </x:c>
      <x:c r="E33" s="43" t="s">
        <x:v>277</x:v>
      </x:c>
    </x:row>
    <x:row r="34" ht="13.5" customHeight="1">
      <x:c r="A34" s="44"/>
      <x:c r="B34" s="43" t="s">
        <x:v>108</x:v>
      </x:c>
      <x:c r="C34" s="43" t="s">
        <x:v>275</x:v>
      </x:c>
      <x:c r="D34" s="43" t="s">
        <x:v>278</x:v>
      </x:c>
      <x:c r="E34" s="43" t="s">
        <x:v>279</x:v>
      </x:c>
    </x:row>
    <x:row r="35" ht="13.5" customHeight="1">
      <x:c r="A35" s="44"/>
      <x:c r="B35" s="43" t="s">
        <x:v>109</x:v>
      </x:c>
      <x:c r="C35" s="43" t="s">
        <x:v>228</x:v>
      </x:c>
      <x:c r="D35" s="43" t="s">
        <x:v>280</x:v>
      </x:c>
      <x:c r="E35" s="43" t="s">
        <x:v>281</x:v>
      </x:c>
    </x:row>
    <x:row r="36" ht="26.25" customHeight="1">
      <x:c r="A36" s="43" t="s">
        <x:v>282</x:v>
      </x:c>
      <x:c r="B36" s="43" t="s">
        <x:v>110</x:v>
      </x:c>
      <x:c r="C36" s="43" t="s">
        <x:v>228</x:v>
      </x:c>
      <x:c r="D36" s="43" t="s">
        <x:v>283</x:v>
      </x:c>
      <x:c r="E36" s="43" t="s">
        <x:v>284</x:v>
      </x:c>
    </x:row>
    <x:row r="37" ht="13.5" customHeight="1">
      <x:c r="A37" s="44"/>
      <x:c r="B37" s="43" t="s">
        <x:v>111</x:v>
      </x:c>
      <x:c r="C37" s="43" t="s">
        <x:v>231</x:v>
      </x:c>
      <x:c r="D37" s="43" t="s">
        <x:v>285</x:v>
      </x:c>
      <x:c r="E37" s="43" t="s">
        <x:v>286</x:v>
      </x:c>
    </x:row>
    <x:row r="38" ht="13.5" customHeight="1">
      <x:c r="A38" s="44"/>
      <x:c r="B38" s="43" t="s">
        <x:v>112</x:v>
      </x:c>
      <x:c r="C38" s="43" t="s">
        <x:v>231</x:v>
      </x:c>
      <x:c r="D38" s="43" t="s">
        <x:v>287</x:v>
      </x:c>
      <x:c r="E38" s="43" t="s">
        <x:v>288</x:v>
      </x:c>
    </x:row>
    <x:row r="39" ht="13.5" customHeight="1">
      <x:c r="A39" s="44"/>
      <x:c r="B39" s="43" t="s">
        <x:v>113</x:v>
      </x:c>
      <x:c r="C39" s="43" t="s">
        <x:v>228</x:v>
      </x:c>
      <x:c r="D39" s="43" t="s">
        <x:v>289</x:v>
      </x:c>
      <x:c r="E39" s="43" t="s">
        <x:v>290</x:v>
      </x:c>
    </x:row>
    <x:row r="40" ht="13.5" customHeight="1">
      <x:c r="A40" s="44"/>
      <x:c r="B40" s="43" t="s">
        <x:v>114</x:v>
      </x:c>
      <x:c r="C40" s="43" t="s">
        <x:v>228</x:v>
      </x:c>
      <x:c r="D40" s="43" t="s">
        <x:v>291</x:v>
      </x:c>
      <x:c r="E40" s="43" t="s">
        <x:v>292</x:v>
      </x:c>
    </x:row>
    <x:row r="41" ht="26.25" customHeight="1">
      <x:c r="A41" s="43" t="s">
        <x:v>293</x:v>
      </x:c>
      <x:c r="B41" s="43" t="s">
        <x:v>115</x:v>
      </x:c>
      <x:c r="C41" s="43" t="s">
        <x:v>228</x:v>
      </x:c>
      <x:c r="D41" s="43" t="s">
        <x:v>294</x:v>
      </x:c>
      <x:c r="E41" s="43" t="s">
        <x:v>284</x:v>
      </x:c>
    </x:row>
    <x:row r="42" ht="13.5" customHeight="1">
      <x:c r="A42" s="44"/>
      <x:c r="B42" s="43" t="s">
        <x:v>116</x:v>
      </x:c>
      <x:c r="C42" s="43" t="s">
        <x:v>231</x:v>
      </x:c>
      <x:c r="D42" s="43" t="s">
        <x:v>295</x:v>
      </x:c>
      <x:c r="E42" s="43" t="s">
        <x:v>296</x:v>
      </x:c>
    </x:row>
    <x:row r="43" ht="13.5" customHeight="1">
      <x:c r="A43" s="44"/>
      <x:c r="B43" s="43" t="s">
        <x:v>117</x:v>
      </x:c>
      <x:c r="C43" s="43" t="s">
        <x:v>231</x:v>
      </x:c>
      <x:c r="D43" s="43" t="s">
        <x:v>297</x:v>
      </x:c>
      <x:c r="E43" s="43" t="s">
        <x:v>298</x:v>
      </x:c>
    </x:row>
    <x:row r="44" ht="13.5" customHeight="1">
      <x:c r="A44" s="44"/>
      <x:c r="B44" s="43" t="s">
        <x:v>118</x:v>
      </x:c>
      <x:c r="C44" s="43" t="s">
        <x:v>228</x:v>
      </x:c>
      <x:c r="D44" s="43" t="s">
        <x:v>299</x:v>
      </x:c>
      <x:c r="E44" s="43" t="s">
        <x:v>290</x:v>
      </x:c>
    </x:row>
    <x:row r="45" ht="13.5" customHeight="1">
      <x:c r="A45" s="44"/>
      <x:c r="B45" s="43" t="s">
        <x:v>119</x:v>
      </x:c>
      <x:c r="C45" s="43" t="s">
        <x:v>228</x:v>
      </x:c>
      <x:c r="D45" s="43" t="s">
        <x:v>300</x:v>
      </x:c>
      <x:c r="E45" s="43" t="s">
        <x:v>292</x:v>
      </x:c>
    </x:row>
    <x:row r="46" ht="33" customHeight="1">
      <x:c r="A46" s="80" t="s">
        <x:v>301</x:v>
      </x:c>
      <x:c r="B46" s="80" t="s">
        <x:v>120</x:v>
      </x:c>
      <x:c r="C46" s="80" t="s">
        <x:v>250</x:v>
      </x:c>
      <x:c r="D46" s="81" t="s">
        <x:v>302</x:v>
      </x:c>
      <x:c r="E46" s="45" t="s">
        <x:v>303</x:v>
      </x:c>
    </x:row>
    <x:row r="47" ht="33" customHeight="1">
      <x:c r="A47" s="46"/>
      <x:c r="B47" s="82" t="s">
        <x:v>121</x:v>
      </x:c>
      <x:c r="C47" s="82" t="s">
        <x:v>219</x:v>
      </x:c>
      <x:c r="D47" s="76" t="s">
        <x:v>304</x:v>
      </x:c>
      <x:c r="E47" s="76" t="s">
        <x:v>305</x:v>
      </x:c>
    </x:row>
    <x:row r="48" ht="33" customHeight="1">
      <x:c r="A48" s="82"/>
      <x:c r="B48" s="82" t="s">
        <x:v>122</x:v>
      </x:c>
      <x:c r="C48" s="82" t="s">
        <x:v>219</x:v>
      </x:c>
      <x:c r="D48" s="76" t="s">
        <x:v>306</x:v>
      </x:c>
      <x:c r="E48" s="76" t="s">
        <x:v>307</x:v>
      </x:c>
    </x:row>
    <x:row r="49" ht="66" customHeight="1">
      <x:c r="A49" s="47" t="s">
        <x:v>72</x:v>
      </x:c>
      <x:c r="B49" s="48" t="s">
        <x:v>5</x:v>
      </x:c>
      <x:c r="C49" s="48" t="s">
        <x:v>250</x:v>
      </x:c>
      <x:c r="D49" s="49" t="s">
        <x:v>308</x:v>
      </x:c>
      <x:c r="E49" s="50" t="s">
        <x:v>309</x:v>
      </x:c>
    </x:row>
    <x:row r="50" ht="82.5" customHeight="1">
      <x:c r="A50" s="47"/>
      <x:c r="B50" s="51" t="s">
        <x:v>123</x:v>
      </x:c>
      <x:c r="C50" s="48" t="s">
        <x:v>219</x:v>
      </x:c>
      <x:c r="D50" s="49" t="s">
        <x:v>310</x:v>
      </x:c>
      <x:c r="E50" s="50" t="s">
        <x:v>311</x:v>
      </x:c>
    </x:row>
    <x:row r="51" ht="66" customHeight="1">
      <x:c r="A51" s="47" t="s">
        <x:v>73</x:v>
      </x:c>
      <x:c r="B51" s="48" t="s">
        <x:v>124</x:v>
      </x:c>
      <x:c r="C51" s="48" t="s">
        <x:v>228</x:v>
      </x:c>
      <x:c r="D51" s="49" t="s">
        <x:v>312</x:v>
      </x:c>
      <x:c r="E51" s="50" t="s">
        <x:v>313</x:v>
      </x:c>
    </x:row>
    <x:row r="52" ht="198" customHeight="1">
      <x:c r="A52" s="47"/>
      <x:c r="B52" s="48" t="s">
        <x:v>125</x:v>
      </x:c>
      <x:c r="C52" s="48" t="s">
        <x:v>228</x:v>
      </x:c>
      <x:c r="D52" s="49" t="s">
        <x:v>314</x:v>
      </x:c>
      <x:c r="E52" s="50" t="s">
        <x:v>315</x:v>
      </x:c>
    </x:row>
    <x:row r="53" ht="49.5" customHeight="1">
      <x:c r="A53" s="47" t="s">
        <x:v>71</x:v>
      </x:c>
      <x:c r="B53" s="48" t="s">
        <x:v>75</x:v>
      </x:c>
      <x:c r="C53" s="48" t="s">
        <x:v>250</x:v>
      </x:c>
      <x:c r="D53" s="49" t="s">
        <x:v>316</x:v>
      </x:c>
      <x:c r="E53" s="50" t="s">
        <x:v>317</x:v>
      </x:c>
    </x:row>
    <x:row r="54" ht="49.5" customHeight="1">
      <x:c r="A54" s="47"/>
      <x:c r="B54" s="48" t="s">
        <x:v>76</x:v>
      </x:c>
      <x:c r="C54" s="48" t="s">
        <x:v>219</x:v>
      </x:c>
      <x:c r="D54" s="49" t="s">
        <x:v>318</x:v>
      </x:c>
      <x:c r="E54" s="50" t="s">
        <x:v>319</x:v>
      </x:c>
    </x:row>
    <x:row r="55" ht="33" customHeight="1">
      <x:c r="A55" s="52" t="s">
        <x:v>320</x:v>
      </x:c>
      <x:c r="B55" s="53" t="s">
        <x:v>126</x:v>
      </x:c>
      <x:c r="C55" s="53" t="s">
        <x:v>219</x:v>
      </x:c>
      <x:c r="D55" s="53" t="s">
        <x:v>321</x:v>
      </x:c>
      <x:c r="E55" s="54" t="s">
        <x:v>322</x:v>
      </x:c>
    </x:row>
    <x:row r="56" ht="47.25" customHeight="1">
      <x:c r="A56" s="53"/>
      <x:c r="B56" s="53" t="s">
        <x:v>127</x:v>
      </x:c>
      <x:c r="C56" s="53" t="s">
        <x:v>219</x:v>
      </x:c>
      <x:c r="D56" s="53" t="s">
        <x:v>323</x:v>
      </x:c>
      <x:c r="E56" s="54" t="s">
        <x:v>324</x:v>
      </x:c>
    </x:row>
    <x:row r="57" ht="99" customHeight="1">
      <x:c r="A57" s="53"/>
      <x:c r="B57" s="53" t="s">
        <x:v>128</x:v>
      </x:c>
      <x:c r="C57" s="53" t="s">
        <x:v>219</x:v>
      </x:c>
      <x:c r="D57" s="53" t="s">
        <x:v>325</x:v>
      </x:c>
      <x:c r="E57" s="54" t="s">
        <x:v>326</x:v>
      </x:c>
    </x:row>
    <x:row r="58" ht="51.75" customHeight="1">
      <x:c r="A58" s="53"/>
      <x:c r="B58" s="53" t="s">
        <x:v>129</x:v>
      </x:c>
      <x:c r="C58" s="53" t="s">
        <x:v>219</x:v>
      </x:c>
      <x:c r="D58" s="53" t="s">
        <x:v>327</x:v>
      </x:c>
      <x:c r="E58" s="54" t="s">
        <x:v>328</x:v>
      </x:c>
    </x:row>
  </x:sheetData>
  <x:mergeCells>
    <x:mergeCell ref="A27:A28"/>
    <x:mergeCell ref="A21:A26"/>
    <x:mergeCell ref="A8:A12"/>
    <x:mergeCell ref="A2:A7"/>
    <x:mergeCell ref="A13:A17"/>
    <x:mergeCell ref="A18:A20"/>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8.375" defaultRowHeight="13.5"/>
  <x:cols>
    <x:col min="1" max="2" width="12" customWidth="1"/>
    <x:col min="3" max="3" width="26" customWidth="1"/>
    <x:col min="4" max="4" width="70" customWidth="1"/>
  </x:cols>
  <x:sheetData>
    <x:row r="1" ht="19.5" customHeight="1">
      <x:c r="A1" s="55" t="s">
        <x:v>329</x:v>
      </x:c>
      <x:c r="B1" s="17" t="s">
        <x:v>330</x:v>
      </x:c>
      <x:c r="C1" s="17" t="s">
        <x:v>331</x:v>
      </x:c>
      <x:c r="D1" s="17" t="s">
        <x:v>332</x:v>
      </x:c>
    </x:row>
    <x:row r="2" ht="165" customHeight="1">
      <x:c r="A2" s="56" t="s">
        <x:v>333</x:v>
      </x:c>
      <x:c r="B2" s="57" t="s">
        <x:v>334</x:v>
      </x:c>
      <x:c r="C2" s="37" t="s">
        <x:v>97</x:v>
      </x:c>
      <x:c r="D2" s="38" t="s">
        <x:v>335</x:v>
      </x:c>
    </x:row>
    <x:row r="3" ht="214.5" customHeight="1">
      <x:c r="A3" s="56" t="s">
        <x:v>41</x:v>
      </x:c>
      <x:c r="B3" s="57" t="s">
        <x:v>334</x:v>
      </x:c>
      <x:c r="C3" s="37" t="s">
        <x:v>336</x:v>
      </x:c>
      <x:c r="D3" s="38" t="s">
        <x:v>337</x:v>
      </x:c>
    </x:row>
    <x:row r="4" ht="33.75" customHeight="1">
      <x:c r="A4" s="58" t="s">
        <x:v>41</x:v>
      </x:c>
      <x:c r="B4" s="57" t="s">
        <x:v>338</x:v>
      </x:c>
      <x:c r="C4" s="38" t="s">
        <x:v>339</x:v>
      </x:c>
      <x:c r="D4" s="38" t="s">
        <x:v>340</x:v>
      </x:c>
    </x:row>
    <x:row r="5" ht="115.5" customHeight="1">
      <x:c r="A5" s="56" t="s">
        <x:v>341</x:v>
      </x:c>
      <x:c r="B5" s="57" t="s">
        <x:v>342</x:v>
      </x:c>
      <x:c r="C5" s="38" t="s">
        <x:v>343</x:v>
      </x:c>
      <x:c r="D5" s="38" t="s">
        <x:v>344</x:v>
      </x:c>
    </x:row>
    <x:row r="6" ht="66" customHeight="1">
      <x:c r="A6" s="58" t="s">
        <x:v>41</x:v>
      </x:c>
      <x:c r="B6" s="57" t="s">
        <x:v>342</x:v>
      </x:c>
      <x:c r="C6" s="38" t="s">
        <x:v>345</x:v>
      </x:c>
      <x:c r="D6" s="38" t="s">
        <x:v>346</x:v>
      </x:c>
    </x:row>
    <x:row r="7" ht="49.5" customHeight="1">
      <x:c r="A7" s="56" t="s">
        <x:v>39</x:v>
      </x:c>
      <x:c r="B7" s="59" t="s">
        <x:v>20</x:v>
      </x:c>
      <x:c r="C7" s="59" t="s">
        <x:v>347</x:v>
      </x:c>
      <x:c r="D7" s="60" t="s">
        <x:v>348</x:v>
      </x:c>
    </x:row>
    <x:row r="8" ht="66" customHeight="1">
      <x:c r="A8" s="58" t="s">
        <x:v>41</x:v>
      </x:c>
      <x:c r="B8" s="59" t="s">
        <x:v>20</x:v>
      </x:c>
      <x:c r="C8" s="59" t="s">
        <x:v>99</x:v>
      </x:c>
      <x:c r="D8" s="60" t="s">
        <x:v>349</x:v>
      </x:c>
    </x:row>
    <x:row r="9" ht="165" customHeight="1">
      <x:c r="A9" s="56" t="s">
        <x:v>41</x:v>
      </x:c>
      <x:c r="B9" s="59" t="s">
        <x:v>20</x:v>
      </x:c>
      <x:c r="C9" s="61" t="s">
        <x:v>100</x:v>
      </x:c>
      <x:c r="D9" s="60" t="s">
        <x:v>350</x:v>
      </x:c>
    </x:row>
    <x:row r="10" ht="66" customHeight="1">
      <x:c r="A10" s="56" t="s">
        <x:v>351</x:v>
      </x:c>
      <x:c r="B10" s="59" t="s">
        <x:v>20</x:v>
      </x:c>
      <x:c r="C10" s="61" t="s">
        <x:v>352</x:v>
      </x:c>
      <x:c r="D10" s="62" t="s">
        <x:v>353</x:v>
      </x:c>
    </x:row>
    <x:row r="11" ht="33" customHeight="1">
      <x:c r="A11" s="56" t="s">
        <x:v>39</x:v>
      </x:c>
      <x:c r="B11" s="59" t="s">
        <x:v>20</x:v>
      </x:c>
      <x:c r="C11" s="59" t="s">
        <x:v>354</x:v>
      </x:c>
      <x:c r="D11" s="60" t="s">
        <x:v>355</x:v>
      </x:c>
    </x:row>
    <x:row r="12" ht="39" customHeight="1">
      <x:c r="A12" s="56" t="s">
        <x:v>39</x:v>
      </x:c>
      <x:c r="B12" s="59" t="s">
        <x:v>20</x:v>
      </x:c>
      <x:c r="C12" s="59" t="s">
        <x:v>356</x:v>
      </x:c>
      <x:c r="D12" s="62" t="s">
        <x:v>357</x:v>
      </x:c>
    </x:row>
    <x:row r="13" ht="48" customHeight="1">
      <x:c r="A13" s="58" t="s">
        <x:v>41</x:v>
      </x:c>
      <x:c r="B13" s="83" t="s">
        <x:v>358</x:v>
      </x:c>
      <x:c r="C13" s="76" t="s">
        <x:v>359</x:v>
      </x:c>
      <x:c r="D13" s="76" t="s">
        <x:v>360</x:v>
      </x:c>
    </x:row>
    <x:row r="14" ht="48" customHeight="1">
      <x:c r="A14" s="56" t="s">
        <x:v>39</x:v>
      </x:c>
      <x:c r="B14" s="83" t="s">
        <x:v>358</x:v>
      </x:c>
      <x:c r="C14" s="76" t="s">
        <x:v>361</x:v>
      </x:c>
      <x:c r="D14" s="76" t="s">
        <x:v>362</x:v>
      </x:c>
    </x:row>
    <x:row r="15" ht="48" customHeight="1">
      <x:c r="A15" s="56" t="s">
        <x:v>39</x:v>
      </x:c>
      <x:c r="B15" s="83" t="s">
        <x:v>358</x:v>
      </x:c>
      <x:c r="C15" s="63" t="s">
        <x:v>363</x:v>
      </x:c>
      <x:c r="D15" s="76" t="s">
        <x:v>364</x:v>
      </x:c>
    </x:row>
    <x:row r="16" ht="48" customHeight="1">
      <x:c r="A16" s="56" t="s">
        <x:v>365</x:v>
      </x:c>
      <x:c r="B16" s="83" t="s">
        <x:v>358</x:v>
      </x:c>
      <x:c r="C16" s="76" t="s">
        <x:v>366</x:v>
      </x:c>
      <x:c r="D16" s="63" t="s">
        <x:v>367</x:v>
      </x:c>
    </x:row>
    <x:row r="17" ht="48" customHeight="1">
      <x:c r="A17" s="84" t="s">
        <x:v>368</x:v>
      </x:c>
      <x:c r="B17" s="83" t="s">
        <x:v>342</x:v>
      </x:c>
      <x:c r="C17" s="76" t="s">
        <x:v>369</x:v>
      </x:c>
      <x:c r="D17" s="76" t="s">
        <x:v>370</x:v>
      </x:c>
    </x:row>
    <x:row r="18" ht="48" customHeight="1">
      <x:c r="A18" s="85" t="s">
        <x:v>39</x:v>
      </x:c>
      <x:c r="B18" s="83" t="s">
        <x:v>342</x:v>
      </x:c>
      <x:c r="C18" s="63" t="s">
        <x:v>371</x:v>
      </x:c>
      <x:c r="D18" s="76" t="s">
        <x:v>372</x:v>
      </x:c>
    </x:row>
    <x:row r="19" ht="48" customHeight="1">
      <x:c r="A19" s="85" t="s">
        <x:v>41</x:v>
      </x:c>
      <x:c r="B19" s="83" t="s">
        <x:v>20</x:v>
      </x:c>
      <x:c r="C19" s="76" t="s">
        <x:v>373</x:v>
      </x:c>
      <x:c r="D19" s="76" t="s">
        <x:v>374</x:v>
      </x:c>
    </x:row>
    <x:row r="20" ht="48" customHeight="1">
      <x:c r="A20" s="85" t="s">
        <x:v>39</x:v>
      </x:c>
      <x:c r="B20" s="83" t="s">
        <x:v>375</x:v>
      </x:c>
      <x:c r="C20" s="76" t="s">
        <x:v>376</x:v>
      </x:c>
      <x:c r="D20" s="76" t="s">
        <x:v>377</x:v>
      </x:c>
    </x:row>
    <x:row r="21" ht="48" customHeight="1">
      <x:c r="A21" s="85" t="s">
        <x:v>39</x:v>
      </x:c>
      <x:c r="B21" s="83" t="s">
        <x:v>20</x:v>
      </x:c>
      <x:c r="C21" s="76" t="s">
        <x:v>378</x:v>
      </x:c>
      <x:c r="D21" s="76" t="s">
        <x:v>379</x:v>
      </x:c>
    </x:row>
    <x:row r="22" ht="48" customHeight="1">
      <x:c r="A22" s="85" t="s">
        <x:v>39</x:v>
      </x:c>
      <x:c r="B22" s="83" t="s">
        <x:v>20</x:v>
      </x:c>
      <x:c r="C22" s="76" t="s">
        <x:v>380</x:v>
      </x:c>
      <x:c r="D22" s="63" t="s">
        <x:v>381</x:v>
      </x:c>
    </x:row>
    <x:row r="23" ht="48" customHeight="1">
      <x:c r="A23" s="85" t="s">
        <x:v>39</x:v>
      </x:c>
      <x:c r="B23" s="83" t="s">
        <x:v>382</x:v>
      </x:c>
      <x:c r="C23" s="76" t="s">
        <x:v>383</x:v>
      </x:c>
      <x:c r="D23" s="76" t="s">
        <x:v>384</x:v>
      </x:c>
    </x:row>
    <x:row r="24" ht="264" customHeight="1">
      <x:c r="A24" s="56" t="s">
        <x:v>41</x:v>
      </x:c>
      <x:c r="B24" s="57" t="s">
        <x:v>26</x:v>
      </x:c>
      <x:c r="C24" s="38" t="s">
        <x:v>385</x:v>
      </x:c>
      <x:c r="D24" s="38" t="s">
        <x:v>386</x:v>
      </x:c>
    </x:row>
    <x:row r="25" ht="82.5" customHeight="1">
      <x:c r="A25" s="56" t="s">
        <x:v>39</x:v>
      </x:c>
      <x:c r="B25" s="57" t="s">
        <x:v>26</x:v>
      </x:c>
      <x:c r="C25" s="38" t="s">
        <x:v>387</x:v>
      </x:c>
      <x:c r="D25" s="38" t="s">
        <x:v>388</x:v>
      </x:c>
    </x:row>
    <x:row r="26" ht="165" customHeight="1">
      <x:c r="A26" s="56" t="s">
        <x:v>39</x:v>
      </x:c>
      <x:c r="B26" s="57" t="s">
        <x:v>26</x:v>
      </x:c>
      <x:c r="C26" s="38" t="s">
        <x:v>389</x:v>
      </x:c>
      <x:c r="D26" s="37" t="s">
        <x:v>390</x:v>
      </x:c>
    </x:row>
    <x:row r="27" ht="49.5" customHeight="1">
      <x:c r="A27" s="56" t="s">
        <x:v>39</x:v>
      </x:c>
      <x:c r="B27" s="57" t="s">
        <x:v>26</x:v>
      </x:c>
      <x:c r="C27" s="38" t="s">
        <x:v>391</x:v>
      </x:c>
      <x:c r="D27" s="38" t="s">
        <x:v>392</x:v>
      </x:c>
    </x:row>
    <x:row r="28" ht="82.5" customHeight="1">
      <x:c r="A28" s="56" t="s">
        <x:v>393</x:v>
      </x:c>
      <x:c r="B28" s="57" t="s">
        <x:v>394</x:v>
      </x:c>
      <x:c r="C28" s="37" t="s">
        <x:v>395</x:v>
      </x:c>
      <x:c r="D28" s="38" t="s">
        <x:v>396</x:v>
      </x:c>
    </x:row>
    <x:row r="29" ht="115.5" customHeight="1">
      <x:c r="A29" s="56" t="s">
        <x:v>397</x:v>
      </x:c>
      <x:c r="B29" s="57" t="s">
        <x:v>32</x:v>
      </x:c>
      <x:c r="C29" s="37" t="s">
        <x:v>398</x:v>
      </x:c>
      <x:c r="D29" s="38" t="s">
        <x:v>399</x:v>
      </x:c>
    </x:row>
    <x:row r="30" ht="264" customHeight="1">
      <x:c r="A30" s="56" t="s">
        <x:v>400</x:v>
      </x:c>
      <x:c r="B30" s="57" t="s">
        <x:v>32</x:v>
      </x:c>
      <x:c r="C30" s="37" t="s">
        <x:v>401</x:v>
      </x:c>
      <x:c r="D30" s="38" t="s">
        <x:v>402</x:v>
      </x:c>
    </x:row>
    <x:row r="31" ht="99" customHeight="1">
      <x:c r="A31" s="56" t="s">
        <x:v>403</x:v>
      </x:c>
      <x:c r="B31" s="57" t="s">
        <x:v>32</x:v>
      </x:c>
      <x:c r="C31" s="38" t="s">
        <x:v>404</x:v>
      </x:c>
      <x:c r="D31" s="38" t="s">
        <x:v>405</x:v>
      </x:c>
    </x:row>
    <x:row r="32" ht="33" customHeight="1">
      <x:c r="A32" s="56" t="s">
        <x:v>39</x:v>
      </x:c>
      <x:c r="B32" s="57" t="s">
        <x:v>29</x:v>
      </x:c>
      <x:c r="C32" s="38" t="s">
        <x:v>406</x:v>
      </x:c>
      <x:c r="D32" s="38" t="s">
        <x:v>407</x:v>
      </x:c>
    </x:row>
    <x:row r="33" ht="82.5" customHeight="1">
      <x:c r="A33" s="56" t="s">
        <x:v>41</x:v>
      </x:c>
      <x:c r="B33" s="57" t="s">
        <x:v>342</x:v>
      </x:c>
      <x:c r="C33" s="37" t="s">
        <x:v>408</x:v>
      </x:c>
      <x:c r="D33" s="37" t="s">
        <x:v>409</x:v>
      </x:c>
    </x:row>
    <x:row r="34" ht="148.5" customHeight="1">
      <x:c r="A34" s="56" t="s">
        <x:v>410</x:v>
      </x:c>
      <x:c r="B34" s="57" t="s">
        <x:v>32</x:v>
      </x:c>
      <x:c r="C34" s="38" t="s">
        <x:v>411</x:v>
      </x:c>
      <x:c r="D34" s="38" t="s">
        <x:v>412</x:v>
      </x:c>
    </x:row>
    <x:row r="35" ht="231" customHeight="1">
      <x:c r="A35" s="56" t="s">
        <x:v>413</x:v>
      </x:c>
      <x:c r="B35" s="57" t="s">
        <x:v>32</x:v>
      </x:c>
      <x:c r="C35" s="38" t="s">
        <x:v>414</x:v>
      </x:c>
      <x:c r="D35" s="37" t="s">
        <x:v>415</x:v>
      </x:c>
    </x:row>
    <x:row r="36" ht="49.5" customHeight="1">
      <x:c r="A36" s="56" t="s">
        <x:v>368</x:v>
      </x:c>
      <x:c r="B36" s="57" t="s">
        <x:v>32</x:v>
      </x:c>
      <x:c r="C36" s="38" t="s">
        <x:v>416</x:v>
      </x:c>
      <x:c r="D36" s="38" t="s">
        <x:v>417</x:v>
      </x:c>
    </x:row>
    <x:row r="37" ht="82.5" customHeight="1">
      <x:c r="A37" s="56" t="s">
        <x:v>41</x:v>
      </x:c>
      <x:c r="B37" s="57" t="s">
        <x:v>342</x:v>
      </x:c>
      <x:c r="C37" s="38" t="s">
        <x:v>418</x:v>
      </x:c>
      <x:c r="D37" s="37" t="s">
        <x:v>419</x:v>
      </x:c>
    </x:row>
    <x:row r="38" ht="409.5" customHeight="1">
      <x:c r="A38" s="56" t="s">
        <x:v>420</x:v>
      </x:c>
      <x:c r="B38" s="57" t="s">
        <x:v>33</x:v>
      </x:c>
      <x:c r="C38" s="38" t="s">
        <x:v>421</x:v>
      </x:c>
      <x:c r="D38" s="37" t="s">
        <x:v>422</x:v>
      </x:c>
    </x:row>
    <x:row r="39" ht="66" customHeight="1">
      <x:c r="A39" s="56" t="s">
        <x:v>41</x:v>
      </x:c>
      <x:c r="B39" s="57" t="s">
        <x:v>33</x:v>
      </x:c>
      <x:c r="C39" s="38" t="s">
        <x:v>423</x:v>
      </x:c>
      <x:c r="D39" s="37" t="s">
        <x:v>424</x:v>
      </x:c>
    </x:row>
    <x:row r="40" ht="99" customHeight="1">
      <x:c r="A40" s="56" t="s">
        <x:v>41</x:v>
      </x:c>
      <x:c r="B40" s="57" t="s">
        <x:v>342</x:v>
      </x:c>
      <x:c r="C40" s="38" t="s">
        <x:v>425</x:v>
      </x:c>
      <x:c r="D40" s="37" t="s">
        <x:v>426</x:v>
      </x:c>
    </x:row>
    <x:row r="41" ht="33" customHeight="1">
      <x:c r="A41" s="56" t="s">
        <x:v>41</x:v>
      </x:c>
      <x:c r="B41" s="57" t="s">
        <x:v>32</x:v>
      </x:c>
      <x:c r="C41" s="38" t="s">
        <x:v>427</x:v>
      </x:c>
      <x:c r="D41" s="37" t="s">
        <x:v>428</x:v>
      </x:c>
    </x:row>
    <x:row r="42" ht="115.5" customHeight="1">
      <x:c r="A42" s="56" t="s">
        <x:v>41</x:v>
      </x:c>
      <x:c r="B42" s="57" t="s">
        <x:v>342</x:v>
      </x:c>
      <x:c r="C42" s="38" t="s">
        <x:v>429</x:v>
      </x:c>
      <x:c r="D42" s="37" t="s">
        <x:v>430</x:v>
      </x:c>
    </x:row>
    <x:row r="43" ht="148.5" customHeight="1">
      <x:c r="A43" s="64" t="s">
        <x:v>431</x:v>
      </x:c>
      <x:c r="B43" s="57" t="s">
        <x:v>432</x:v>
      </x:c>
      <x:c r="C43" s="38" t="s">
        <x:v>433</x:v>
      </x:c>
      <x:c r="D43" s="37" t="s">
        <x:v>434</x:v>
      </x:c>
    </x:row>
    <x:row r="44" ht="148.5" customHeight="1">
      <x:c r="A44" s="56" t="s">
        <x:v>41</x:v>
      </x:c>
      <x:c r="B44" s="57" t="s">
        <x:v>20</x:v>
      </x:c>
      <x:c r="C44" s="38" t="s">
        <x:v>435</x:v>
      </x:c>
      <x:c r="D44" s="37" t="s">
        <x:v>436</x:v>
      </x:c>
    </x:row>
    <x:row r="45" ht="148.5" customHeight="1">
      <x:c r="A45" s="56" t="s">
        <x:v>41</x:v>
      </x:c>
      <x:c r="B45" s="57" t="s">
        <x:v>342</x:v>
      </x:c>
      <x:c r="C45" s="38" t="s">
        <x:v>437</x:v>
      </x:c>
      <x:c r="D45" s="37" t="s">
        <x:v>438</x:v>
      </x:c>
    </x:row>
    <x:row r="46" ht="94.5" customHeight="1">
      <x:c r="A46" s="53" t="s">
        <x:v>41</x:v>
      </x:c>
      <x:c r="B46" s="53" t="s">
        <x:v>342</x:v>
      </x:c>
      <x:c r="C46" s="53" t="s">
        <x:v>439</x:v>
      </x:c>
      <x:c r="D46" s="54" t="s">
        <x:v>440</x:v>
      </x:c>
    </x:row>
    <x:row r="47" ht="113.25" customHeight="1">
      <x:c r="A47" s="53" t="s">
        <x:v>41</x:v>
      </x:c>
      <x:c r="B47" s="53" t="s">
        <x:v>342</x:v>
      </x:c>
      <x:c r="C47" s="53" t="s">
        <x:v>441</x:v>
      </x:c>
      <x:c r="D47" s="54" t="s">
        <x:v>442</x:v>
      </x:c>
    </x:row>
    <x:row r="48" ht="51.75" customHeight="1">
      <x:c r="A48" s="53" t="s">
        <x:v>41</x:v>
      </x:c>
      <x:c r="B48" s="53" t="s">
        <x:v>342</x:v>
      </x:c>
      <x:c r="C48" s="53" t="s">
        <x:v>443</x:v>
      </x:c>
      <x:c r="D48" s="54" t="s">
        <x:v>444</x:v>
      </x:c>
    </x:row>
    <x:row r="49" ht="80.25" customHeight="1">
      <x:c r="A49" s="53" t="s">
        <x:v>41</x:v>
      </x:c>
      <x:c r="B49" s="53" t="s">
        <x:v>432</x:v>
      </x:c>
      <x:c r="C49" s="53" t="s">
        <x:v>445</x:v>
      </x:c>
      <x:c r="D49" s="54" t="s">
        <x:v>446</x:v>
      </x:c>
    </x:row>
    <x:row r="50" ht="80.25" customHeight="1">
      <x:c r="A50" s="53" t="s">
        <x:v>368</x:v>
      </x:c>
      <x:c r="B50" s="53" t="s">
        <x:v>447</x:v>
      </x:c>
      <x:c r="C50" s="53" t="s">
        <x:v>448</x:v>
      </x:c>
      <x:c r="D50" s="54" t="s">
        <x:v>449</x:v>
      </x:c>
    </x:row>
    <x:row r="51" ht="80.25" customHeight="1">
      <x:c r="A51" s="53" t="s">
        <x:v>450</x:v>
      </x:c>
      <x:c r="B51" s="53" t="s">
        <x:v>432</x:v>
      </x:c>
      <x:c r="C51" s="53" t="s">
        <x:v>451</x:v>
      </x:c>
      <x:c r="D51" s="54" t="s">
        <x:v>452</x:v>
      </x:c>
    </x:row>
    <x:row r="52" ht="80.25" customHeight="1">
      <x:c r="A52" s="53" t="s">
        <x:v>41</x:v>
      </x:c>
      <x:c r="B52" s="53" t="s">
        <x:v>453</x:v>
      </x:c>
      <x:c r="C52" s="53" t="s">
        <x:v>454</x:v>
      </x:c>
      <x:c r="D52" s="54" t="s">
        <x:v>455</x:v>
      </x:c>
    </x:row>
    <x:row r="53" ht="99.94999694824219" customHeight="1">
      <x:c r="A53" s="86" t="s">
        <x:v>456</x:v>
      </x:c>
      <x:c r="B53" s="86" t="s">
        <x:v>457</x:v>
      </x:c>
      <x:c r="C53" s="86" t="s">
        <x:v>458</x:v>
      </x:c>
      <x:c r="D53" s="24" t="s">
        <x:v>459</x:v>
      </x:c>
    </x:row>
    <x:row r="54" ht="99.94999694824219" customHeight="1">
      <x:c r="A54" s="86" t="s">
        <x:v>460</x:v>
      </x:c>
      <x:c r="B54" s="86" t="s">
        <x:v>461</x:v>
      </x:c>
      <x:c r="C54" s="86" t="s">
        <x:v>462</x:v>
      </x:c>
      <x:c r="D54" s="24" t="s">
        <x:v>463</x:v>
      </x:c>
    </x:row>
    <x:row r="55" ht="99.94999694824219" customHeight="1">
      <x:c r="A55" s="86" t="s">
        <x:v>464</x:v>
      </x:c>
      <x:c r="B55" s="86" t="s">
        <x:v>342</x:v>
      </x:c>
      <x:c r="C55" s="66" t="s">
        <x:v>465</x:v>
      </x:c>
      <x:c r="D55" s="24" t="s">
        <x:v>466</x:v>
      </x:c>
    </x:row>
    <x:row r="56" ht="99.94999694824219" customHeight="1">
      <x:c r="A56" s="86" t="s">
        <x:v>464</x:v>
      </x:c>
      <x:c r="B56" s="86" t="s">
        <x:v>342</x:v>
      </x:c>
      <x:c r="C56" s="86" t="s">
        <x:v>467</x:v>
      </x:c>
      <x:c r="D56" s="24" t="s">
        <x:v>468</x:v>
      </x:c>
    </x:row>
    <x:row r="57" ht="99.94999694824219" customHeight="1">
      <x:c r="A57" s="86" t="s">
        <x:v>464</x:v>
      </x:c>
      <x:c r="B57" s="86" t="s">
        <x:v>342</x:v>
      </x:c>
      <x:c r="C57" s="86" t="s">
        <x:v>469</x:v>
      </x:c>
      <x:c r="D57" s="24" t="s">
        <x:v>470</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8.375" defaultRowHeight="13.5"/>
  <x:cols>
    <x:col min="1" max="1" width="12" customWidth="1"/>
    <x:col min="2" max="3" width="16" customWidth="1"/>
    <x:col min="4" max="4" width="10" customWidth="1"/>
    <x:col min="5" max="5" width="16" customWidth="1"/>
    <x:col min="6" max="6" width="12" customWidth="1"/>
    <x:col min="7" max="7" width="46" customWidth="1"/>
  </x:cols>
  <x:sheetData>
    <x:row r="1" ht="19.5" customHeight="1">
      <x:c r="A1" s="17" t="s">
        <x:v>3</x:v>
      </x:c>
      <x:c r="B1" s="17" t="s">
        <x:v>4</x:v>
      </x:c>
      <x:c r="C1" s="17" t="s">
        <x:v>471</x:v>
      </x:c>
      <x:c r="D1" s="17" t="s">
        <x:v>472</x:v>
      </x:c>
      <x:c r="E1" s="17" t="s">
        <x:v>473</x:v>
      </x:c>
      <x:c r="F1" s="17" t="s">
        <x:v>474</x:v>
      </x:c>
      <x:c r="G1" s="17" t="s">
        <x:v>209</x:v>
      </x:c>
    </x:row>
    <x:row r="2" ht="16.5" customHeight="1">
      <x:c r="A2" s="65" t="s">
        <x:v>16</x:v>
      </x:c>
      <x:c r="B2" s="82" t="s">
        <x:v>17</x:v>
      </x:c>
      <x:c r="C2" s="46" t="s">
        <x:v>475</x:v>
      </x:c>
      <x:c r="D2" s="65">
        <x:v>90</x:v>
      </x:c>
      <x:c r="E2" s="46" t="s">
        <x:v>476</x:v>
      </x:c>
      <x:c r="F2" s="87" t="s">
        <x:v>368</x:v>
      </x:c>
      <x:c r="G2" s="76" t="s">
        <x:v>477</x:v>
      </x:c>
    </x:row>
    <x:row r="3" ht="16.5" customHeight="1">
      <x:c r="A3" s="65" t="s">
        <x:v>16</x:v>
      </x:c>
      <x:c r="B3" s="82" t="s">
        <x:v>17</x:v>
      </x:c>
      <x:c r="C3" s="46" t="s">
        <x:v>478</x:v>
      </x:c>
      <x:c r="D3" s="65">
        <x:v>90</x:v>
      </x:c>
      <x:c r="E3" s="46" t="s">
        <x:v>476</x:v>
      </x:c>
      <x:c r="F3" s="87" t="s">
        <x:v>368</x:v>
      </x:c>
      <x:c r="G3" s="76" t="s">
        <x:v>477</x:v>
      </x:c>
    </x:row>
    <x:row r="4" ht="16.5" customHeight="1">
      <x:c r="A4" s="65" t="s">
        <x:v>16</x:v>
      </x:c>
      <x:c r="B4" s="82" t="s">
        <x:v>17</x:v>
      </x:c>
      <x:c r="C4" s="46" t="s">
        <x:v>479</x:v>
      </x:c>
      <x:c r="D4" s="65">
        <x:v>90</x:v>
      </x:c>
      <x:c r="E4" s="46" t="s">
        <x:v>476</x:v>
      </x:c>
      <x:c r="F4" s="87" t="s">
        <x:v>368</x:v>
      </x:c>
      <x:c r="G4" s="76" t="s">
        <x:v>477</x:v>
      </x:c>
    </x:row>
    <x:row r="5" ht="16.5" customHeight="1">
      <x:c r="A5" s="65" t="s">
        <x:v>16</x:v>
      </x:c>
      <x:c r="B5" s="82" t="s">
        <x:v>17</x:v>
      </x:c>
      <x:c r="C5" s="46" t="s">
        <x:v>480</x:v>
      </x:c>
      <x:c r="D5" s="65">
        <x:v>90</x:v>
      </x:c>
      <x:c r="E5" s="46" t="s">
        <x:v>476</x:v>
      </x:c>
      <x:c r="F5" s="87" t="s">
        <x:v>368</x:v>
      </x:c>
      <x:c r="G5" s="76" t="s">
        <x:v>477</x:v>
      </x:c>
    </x:row>
    <x:row r="6" ht="16.5" customHeight="1">
      <x:c r="A6" s="65" t="s">
        <x:v>16</x:v>
      </x:c>
      <x:c r="B6" s="82" t="s">
        <x:v>17</x:v>
      </x:c>
      <x:c r="C6" s="46" t="s">
        <x:v>481</x:v>
      </x:c>
      <x:c r="D6" s="65">
        <x:v>90</x:v>
      </x:c>
      <x:c r="E6" s="46" t="s">
        <x:v>476</x:v>
      </x:c>
      <x:c r="F6" s="87" t="s">
        <x:v>368</x:v>
      </x:c>
      <x:c r="G6" s="76" t="s">
        <x:v>477</x:v>
      </x:c>
    </x:row>
    <x:row r="7" ht="16.5" customHeight="1">
      <x:c r="A7" s="65" t="s">
        <x:v>16</x:v>
      </x:c>
      <x:c r="B7" s="82" t="s">
        <x:v>17</x:v>
      </x:c>
      <x:c r="C7" s="46" t="s">
        <x:v>482</x:v>
      </x:c>
      <x:c r="D7" s="65">
        <x:v>90</x:v>
      </x:c>
      <x:c r="E7" s="46" t="s">
        <x:v>476</x:v>
      </x:c>
      <x:c r="F7" s="87" t="s">
        <x:v>368</x:v>
      </x:c>
      <x:c r="G7" s="76" t="s">
        <x:v>477</x:v>
      </x:c>
    </x:row>
    <x:row r="8" ht="16.5" customHeight="1">
      <x:c r="A8" s="65" t="s">
        <x:v>16</x:v>
      </x:c>
      <x:c r="B8" s="82" t="s">
        <x:v>17</x:v>
      </x:c>
      <x:c r="C8" s="46" t="s">
        <x:v>483</x:v>
      </x:c>
      <x:c r="D8" s="65">
        <x:v>90</x:v>
      </x:c>
      <x:c r="E8" s="46" t="s">
        <x:v>476</x:v>
      </x:c>
      <x:c r="F8" s="87" t="s">
        <x:v>368</x:v>
      </x:c>
      <x:c r="G8" s="76" t="s">
        <x:v>477</x:v>
      </x:c>
    </x:row>
    <x:row r="9" ht="16.5" customHeight="1">
      <x:c r="A9" s="65" t="s">
        <x:v>16</x:v>
      </x:c>
      <x:c r="B9" s="82" t="s">
        <x:v>17</x:v>
      </x:c>
      <x:c r="C9" s="46" t="s">
        <x:v>484</x:v>
      </x:c>
      <x:c r="D9" s="65">
        <x:v>90</x:v>
      </x:c>
      <x:c r="E9" s="46" t="s">
        <x:v>476</x:v>
      </x:c>
      <x:c r="F9" s="87" t="s">
        <x:v>368</x:v>
      </x:c>
      <x:c r="G9" s="76" t="s">
        <x:v>477</x:v>
      </x:c>
    </x:row>
    <x:row r="10" ht="16.5" customHeight="1">
      <x:c r="A10" s="65" t="s">
        <x:v>16</x:v>
      </x:c>
      <x:c r="B10" s="82" t="s">
        <x:v>17</x:v>
      </x:c>
      <x:c r="C10" s="46" t="s">
        <x:v>485</x:v>
      </x:c>
      <x:c r="D10" s="65">
        <x:v>90</x:v>
      </x:c>
      <x:c r="E10" s="46" t="s">
        <x:v>476</x:v>
      </x:c>
      <x:c r="F10" s="87" t="s">
        <x:v>368</x:v>
      </x:c>
      <x:c r="G10" s="76" t="s">
        <x:v>477</x:v>
      </x:c>
    </x:row>
    <x:row r="11" ht="16.5" customHeight="1">
      <x:c r="A11" s="65" t="s">
        <x:v>22</x:v>
      </x:c>
      <x:c r="B11" s="82" t="s">
        <x:v>23</x:v>
      </x:c>
      <x:c r="C11" s="46" t="s">
        <x:v>475</x:v>
      </x:c>
      <x:c r="D11" s="65">
        <x:v>365</x:v>
      </x:c>
      <x:c r="E11" s="46" t="s">
        <x:v>486</x:v>
      </x:c>
      <x:c r="F11" s="87" t="s">
        <x:v>368</x:v>
      </x:c>
      <x:c r="G11" s="76" t="s">
        <x:v>477</x:v>
      </x:c>
    </x:row>
    <x:row r="12" ht="16.5" customHeight="1">
      <x:c r="A12" s="65" t="s">
        <x:v>22</x:v>
      </x:c>
      <x:c r="B12" s="82" t="s">
        <x:v>23</x:v>
      </x:c>
      <x:c r="C12" s="46" t="s">
        <x:v>478</x:v>
      </x:c>
      <x:c r="D12" s="65">
        <x:v>90</x:v>
      </x:c>
      <x:c r="E12" s="46" t="s">
        <x:v>476</x:v>
      </x:c>
      <x:c r="F12" s="87" t="s">
        <x:v>368</x:v>
      </x:c>
      <x:c r="G12" s="76" t="s">
        <x:v>477</x:v>
      </x:c>
    </x:row>
    <x:row r="13" ht="16.5" customHeight="1">
      <x:c r="A13" s="65" t="s">
        <x:v>22</x:v>
      </x:c>
      <x:c r="B13" s="82" t="s">
        <x:v>23</x:v>
      </x:c>
      <x:c r="C13" s="46" t="s">
        <x:v>479</x:v>
      </x:c>
      <x:c r="D13" s="65">
        <x:v>90</x:v>
      </x:c>
      <x:c r="E13" s="46" t="s">
        <x:v>476</x:v>
      </x:c>
      <x:c r="F13" s="87" t="s">
        <x:v>368</x:v>
      </x:c>
      <x:c r="G13" s="76" t="s">
        <x:v>477</x:v>
      </x:c>
    </x:row>
    <x:row r="14" ht="16.5" customHeight="1">
      <x:c r="A14" s="65" t="s">
        <x:v>22</x:v>
      </x:c>
      <x:c r="B14" s="82" t="s">
        <x:v>23</x:v>
      </x:c>
      <x:c r="C14" s="46" t="s">
        <x:v>480</x:v>
      </x:c>
      <x:c r="D14" s="65">
        <x:v>90</x:v>
      </x:c>
      <x:c r="E14" s="46" t="s">
        <x:v>476</x:v>
      </x:c>
      <x:c r="F14" s="87" t="s">
        <x:v>368</x:v>
      </x:c>
      <x:c r="G14" s="76" t="s">
        <x:v>477</x:v>
      </x:c>
    </x:row>
    <x:row r="15" ht="16.5" customHeight="1">
      <x:c r="A15" s="65" t="s">
        <x:v>22</x:v>
      </x:c>
      <x:c r="B15" s="82" t="s">
        <x:v>23</x:v>
      </x:c>
      <x:c r="C15" s="46" t="s">
        <x:v>481</x:v>
      </x:c>
      <x:c r="D15" s="65">
        <x:v>365</x:v>
      </x:c>
      <x:c r="E15" s="46" t="s">
        <x:v>486</x:v>
      </x:c>
      <x:c r="F15" s="87" t="s">
        <x:v>368</x:v>
      </x:c>
      <x:c r="G15" s="76" t="s">
        <x:v>477</x:v>
      </x:c>
    </x:row>
    <x:row r="16" ht="16.5" customHeight="1">
      <x:c r="A16" s="65" t="s">
        <x:v>22</x:v>
      </x:c>
      <x:c r="B16" s="82" t="s">
        <x:v>23</x:v>
      </x:c>
      <x:c r="C16" s="46" t="s">
        <x:v>482</x:v>
      </x:c>
      <x:c r="D16" s="65">
        <x:v>90</x:v>
      </x:c>
      <x:c r="E16" s="46" t="s">
        <x:v>476</x:v>
      </x:c>
      <x:c r="F16" s="87" t="s">
        <x:v>368</x:v>
      </x:c>
      <x:c r="G16" s="76" t="s">
        <x:v>477</x:v>
      </x:c>
    </x:row>
    <x:row r="17" ht="16.5" customHeight="1">
      <x:c r="A17" s="65" t="s">
        <x:v>22</x:v>
      </x:c>
      <x:c r="B17" s="82" t="s">
        <x:v>23</x:v>
      </x:c>
      <x:c r="C17" s="46" t="s">
        <x:v>483</x:v>
      </x:c>
      <x:c r="D17" s="65">
        <x:v>90</x:v>
      </x:c>
      <x:c r="E17" s="46" t="s">
        <x:v>476</x:v>
      </x:c>
      <x:c r="F17" s="87" t="s">
        <x:v>368</x:v>
      </x:c>
      <x:c r="G17" s="76" t="s">
        <x:v>477</x:v>
      </x:c>
    </x:row>
    <x:row r="18" ht="16.5" customHeight="1">
      <x:c r="A18" s="65" t="s">
        <x:v>22</x:v>
      </x:c>
      <x:c r="B18" s="82" t="s">
        <x:v>23</x:v>
      </x:c>
      <x:c r="C18" s="46" t="s">
        <x:v>484</x:v>
      </x:c>
      <x:c r="D18" s="65">
        <x:v>90</x:v>
      </x:c>
      <x:c r="E18" s="46" t="s">
        <x:v>476</x:v>
      </x:c>
      <x:c r="F18" s="87" t="s">
        <x:v>368</x:v>
      </x:c>
      <x:c r="G18" s="76" t="s">
        <x:v>477</x:v>
      </x:c>
    </x:row>
    <x:row r="19" ht="16.5" customHeight="1">
      <x:c r="A19" s="65" t="s">
        <x:v>22</x:v>
      </x:c>
      <x:c r="B19" s="82" t="s">
        <x:v>23</x:v>
      </x:c>
      <x:c r="C19" s="46" t="s">
        <x:v>485</x:v>
      </x:c>
      <x:c r="D19" s="65">
        <x:v>90</x:v>
      </x:c>
      <x:c r="E19" s="46" t="s">
        <x:v>476</x:v>
      </x:c>
      <x:c r="F19" s="87" t="s">
        <x:v>368</x:v>
      </x:c>
      <x:c r="G19" s="76" t="s">
        <x:v>477</x:v>
      </x:c>
    </x:row>
    <x:row r="20" ht="16.5" customHeight="1">
      <x:c r="A20" s="65" t="s">
        <x:v>22</x:v>
      </x:c>
      <x:c r="B20" s="82" t="s">
        <x:v>23</x:v>
      </x:c>
      <x:c r="C20" s="46" t="s">
        <x:v>487</x:v>
      </x:c>
      <x:c r="D20" s="65">
        <x:v>90</x:v>
      </x:c>
      <x:c r="E20" s="46" t="s">
        <x:v>476</x:v>
      </x:c>
      <x:c r="F20" s="87" t="s">
        <x:v>368</x:v>
      </x:c>
      <x:c r="G20" s="76" t="s">
        <x:v>477</x:v>
      </x:c>
    </x:row>
    <x:row r="21" ht="16.5" customHeight="1">
      <x:c r="A21" s="65" t="s">
        <x:v>22</x:v>
      </x:c>
      <x:c r="B21" s="82" t="s">
        <x:v>23</x:v>
      </x:c>
      <x:c r="C21" s="46" t="s">
        <x:v>488</x:v>
      </x:c>
      <x:c r="D21" s="65">
        <x:v>90</x:v>
      </x:c>
      <x:c r="E21" s="46" t="s">
        <x:v>476</x:v>
      </x:c>
      <x:c r="F21" s="87" t="s">
        <x:v>368</x:v>
      </x:c>
      <x:c r="G21" s="76" t="s">
        <x:v>477</x:v>
      </x:c>
    </x:row>
    <x:row r="22" ht="16.5" customHeight="1">
      <x:c r="A22" s="65" t="s">
        <x:v>22</x:v>
      </x:c>
      <x:c r="B22" s="82" t="s">
        <x:v>23</x:v>
      </x:c>
      <x:c r="C22" s="46" t="s">
        <x:v>489</x:v>
      </x:c>
      <x:c r="D22" s="65">
        <x:v>90</x:v>
      </x:c>
      <x:c r="E22" s="46" t="s">
        <x:v>476</x:v>
      </x:c>
      <x:c r="F22" s="87" t="s">
        <x:v>368</x:v>
      </x:c>
      <x:c r="G22" s="76" t="s">
        <x:v>477</x:v>
      </x:c>
    </x:row>
    <x:row r="23" ht="16.5" customHeight="1">
      <x:c r="A23" s="65" t="s">
        <x:v>22</x:v>
      </x:c>
      <x:c r="B23" s="82" t="s">
        <x:v>23</x:v>
      </x:c>
      <x:c r="C23" s="46" t="s">
        <x:v>490</x:v>
      </x:c>
      <x:c r="D23" s="65">
        <x:v>90</x:v>
      </x:c>
      <x:c r="E23" s="46" t="s">
        <x:v>476</x:v>
      </x:c>
      <x:c r="F23" s="87" t="s">
        <x:v>368</x:v>
      </x:c>
      <x:c r="G23" s="76" t="s">
        <x:v>477</x:v>
      </x:c>
    </x:row>
    <x:row r="24" ht="16.5" customHeight="1">
      <x:c r="A24" s="65" t="s">
        <x:v>22</x:v>
      </x:c>
      <x:c r="B24" s="82" t="s">
        <x:v>23</x:v>
      </x:c>
      <x:c r="C24" s="46" t="s">
        <x:v>491</x:v>
      </x:c>
      <x:c r="D24" s="65">
        <x:v>90</x:v>
      </x:c>
      <x:c r="E24" s="46" t="s">
        <x:v>476</x:v>
      </x:c>
      <x:c r="F24" s="87" t="s">
        <x:v>368</x:v>
      </x:c>
      <x:c r="G24" s="76" t="s">
        <x:v>477</x:v>
      </x:c>
    </x:row>
    <x:row r="25" ht="16.5" customHeight="1">
      <x:c r="A25" s="65" t="s">
        <x:v>22</x:v>
      </x:c>
      <x:c r="B25" s="82" t="s">
        <x:v>23</x:v>
      </x:c>
      <x:c r="C25" s="46" t="s">
        <x:v>492</x:v>
      </x:c>
      <x:c r="D25" s="65">
        <x:v>90</x:v>
      </x:c>
      <x:c r="E25" s="46" t="s">
        <x:v>476</x:v>
      </x:c>
      <x:c r="F25" s="87" t="s">
        <x:v>368</x:v>
      </x:c>
      <x:c r="G25" s="76" t="s">
        <x:v>477</x:v>
      </x:c>
    </x:row>
    <x:row r="26" ht="16.5" customHeight="1">
      <x:c r="A26" s="65" t="s">
        <x:v>22</x:v>
      </x:c>
      <x:c r="B26" s="82" t="s">
        <x:v>23</x:v>
      </x:c>
      <x:c r="C26" s="46" t="s">
        <x:v>493</x:v>
      </x:c>
      <x:c r="D26" s="65">
        <x:v>365</x:v>
      </x:c>
      <x:c r="E26" s="46" t="s">
        <x:v>486</x:v>
      </x:c>
      <x:c r="F26" s="87" t="s">
        <x:v>368</x:v>
      </x:c>
      <x:c r="G26" s="76" t="s">
        <x:v>477</x:v>
      </x:c>
    </x:row>
    <x:row r="27" ht="16.5" customHeight="1">
      <x:c r="A27" s="65" t="s">
        <x:v>22</x:v>
      </x:c>
      <x:c r="B27" s="82" t="s">
        <x:v>23</x:v>
      </x:c>
      <x:c r="C27" s="46" t="s">
        <x:v>494</x:v>
      </x:c>
      <x:c r="D27" s="65">
        <x:v>90</x:v>
      </x:c>
      <x:c r="E27" s="46" t="s">
        <x:v>476</x:v>
      </x:c>
      <x:c r="F27" s="87" t="s">
        <x:v>368</x:v>
      </x:c>
      <x:c r="G27" s="76" t="s">
        <x:v>477</x:v>
      </x:c>
    </x:row>
    <x:row r="28" ht="16.5" customHeight="1">
      <x:c r="A28" s="65" t="s">
        <x:v>22</x:v>
      </x:c>
      <x:c r="B28" s="82" t="s">
        <x:v>23</x:v>
      </x:c>
      <x:c r="C28" s="46" t="s">
        <x:v>495</x:v>
      </x:c>
      <x:c r="D28" s="65">
        <x:v>90</x:v>
      </x:c>
      <x:c r="E28" s="46" t="s">
        <x:v>476</x:v>
      </x:c>
      <x:c r="F28" s="87" t="s">
        <x:v>368</x:v>
      </x:c>
      <x:c r="G28" s="76" t="s">
        <x:v>477</x:v>
      </x:c>
    </x:row>
    <x:row r="29" ht="16.5" customHeight="1">
      <x:c r="A29" s="65" t="s">
        <x:v>22</x:v>
      </x:c>
      <x:c r="B29" s="82" t="s">
        <x:v>23</x:v>
      </x:c>
      <x:c r="C29" s="46" t="s">
        <x:v>496</x:v>
      </x:c>
      <x:c r="D29" s="65">
        <x:v>90</x:v>
      </x:c>
      <x:c r="E29" s="46" t="s">
        <x:v>476</x:v>
      </x:c>
      <x:c r="F29" s="87" t="s">
        <x:v>368</x:v>
      </x:c>
      <x:c r="G29" s="76" t="s">
        <x:v>477</x:v>
      </x:c>
    </x:row>
    <x:row r="30" ht="16.5" customHeight="1">
      <x:c r="A30" s="65" t="s">
        <x:v>22</x:v>
      </x:c>
      <x:c r="B30" s="82" t="s">
        <x:v>23</x:v>
      </x:c>
      <x:c r="C30" s="46" t="s">
        <x:v>497</x:v>
      </x:c>
      <x:c r="D30" s="65">
        <x:v>90</x:v>
      </x:c>
      <x:c r="E30" s="46" t="s">
        <x:v>476</x:v>
      </x:c>
      <x:c r="F30" s="87" t="s">
        <x:v>368</x:v>
      </x:c>
      <x:c r="G30" s="76" t="s">
        <x:v>477</x:v>
      </x:c>
    </x:row>
    <x:row r="31" ht="16.5" customHeight="1">
      <x:c r="A31" s="65" t="s">
        <x:v>22</x:v>
      </x:c>
      <x:c r="B31" s="82" t="s">
        <x:v>23</x:v>
      </x:c>
      <x:c r="C31" s="46" t="s">
        <x:v>498</x:v>
      </x:c>
      <x:c r="D31" s="65">
        <x:v>90</x:v>
      </x:c>
      <x:c r="E31" s="46" t="s">
        <x:v>476</x:v>
      </x:c>
      <x:c r="F31" s="87" t="s">
        <x:v>368</x:v>
      </x:c>
      <x:c r="G31" s="76" t="s">
        <x:v>477</x:v>
      </x:c>
    </x:row>
    <x:row r="32" ht="16.5" customHeight="1">
      <x:c r="A32" s="65" t="s">
        <x:v>22</x:v>
      </x:c>
      <x:c r="B32" s="82" t="s">
        <x:v>23</x:v>
      </x:c>
      <x:c r="C32" s="46" t="s">
        <x:v>499</x:v>
      </x:c>
      <x:c r="D32" s="65">
        <x:v>90</x:v>
      </x:c>
      <x:c r="E32" s="46" t="s">
        <x:v>476</x:v>
      </x:c>
      <x:c r="F32" s="87" t="s">
        <x:v>368</x:v>
      </x:c>
      <x:c r="G32" s="76" t="s">
        <x:v>477</x:v>
      </x:c>
    </x:row>
    <x:row r="33" ht="16.5" customHeight="1">
      <x:c r="A33" s="65" t="s">
        <x:v>22</x:v>
      </x:c>
      <x:c r="B33" s="82" t="s">
        <x:v>23</x:v>
      </x:c>
      <x:c r="C33" s="46" t="s">
        <x:v>500</x:v>
      </x:c>
      <x:c r="D33" s="65">
        <x:v>90</x:v>
      </x:c>
      <x:c r="E33" s="46" t="s">
        <x:v>476</x:v>
      </x:c>
      <x:c r="F33" s="87" t="s">
        <x:v>368</x:v>
      </x:c>
      <x:c r="G33" s="76" t="s">
        <x:v>477</x:v>
      </x:c>
    </x:row>
    <x:row r="34" ht="16.5" customHeight="1">
      <x:c r="A34" s="65" t="s">
        <x:v>22</x:v>
      </x:c>
      <x:c r="B34" s="82" t="s">
        <x:v>23</x:v>
      </x:c>
      <x:c r="C34" s="46" t="s">
        <x:v>501</x:v>
      </x:c>
      <x:c r="D34" s="65">
        <x:v>90</x:v>
      </x:c>
      <x:c r="E34" s="46" t="s">
        <x:v>476</x:v>
      </x:c>
      <x:c r="F34" s="87" t="s">
        <x:v>368</x:v>
      </x:c>
      <x:c r="G34" s="76" t="s">
        <x:v>477</x:v>
      </x:c>
    </x:row>
    <x:row r="35" ht="16.5" customHeight="1">
      <x:c r="A35" s="65" t="s">
        <x:v>22</x:v>
      </x:c>
      <x:c r="B35" s="82" t="s">
        <x:v>23</x:v>
      </x:c>
      <x:c r="C35" s="46" t="s">
        <x:v>502</x:v>
      </x:c>
      <x:c r="D35" s="65">
        <x:v>90</x:v>
      </x:c>
      <x:c r="E35" s="46" t="s">
        <x:v>476</x:v>
      </x:c>
      <x:c r="F35" s="87" t="s">
        <x:v>368</x:v>
      </x:c>
      <x:c r="G35" s="76" t="s">
        <x:v>477</x:v>
      </x:c>
    </x:row>
    <x:row r="36" ht="16.5" customHeight="1">
      <x:c r="A36" s="65" t="s">
        <x:v>8</x:v>
      </x:c>
      <x:c r="B36" s="82" t="s">
        <x:v>9</x:v>
      </x:c>
      <x:c r="C36" s="46" t="s">
        <x:v>475</x:v>
      </x:c>
      <x:c r="D36" s="65">
        <x:v>90</x:v>
      </x:c>
      <x:c r="E36" s="46" t="s">
        <x:v>476</x:v>
      </x:c>
      <x:c r="F36" s="87" t="s">
        <x:v>368</x:v>
      </x:c>
      <x:c r="G36" s="76" t="s">
        <x:v>477</x:v>
      </x:c>
    </x:row>
    <x:row r="37" ht="16.5" customHeight="1">
      <x:c r="A37" s="65" t="s">
        <x:v>8</x:v>
      </x:c>
      <x:c r="B37" s="82" t="s">
        <x:v>9</x:v>
      </x:c>
      <x:c r="C37" s="46" t="s">
        <x:v>478</x:v>
      </x:c>
      <x:c r="D37" s="65">
        <x:v>90</x:v>
      </x:c>
      <x:c r="E37" s="46" t="s">
        <x:v>476</x:v>
      </x:c>
      <x:c r="F37" s="87" t="s">
        <x:v>368</x:v>
      </x:c>
      <x:c r="G37" s="76" t="s">
        <x:v>477</x:v>
      </x:c>
    </x:row>
    <x:row r="38" ht="16.5" customHeight="1">
      <x:c r="A38" s="65" t="s">
        <x:v>8</x:v>
      </x:c>
      <x:c r="B38" s="82" t="s">
        <x:v>9</x:v>
      </x:c>
      <x:c r="C38" s="46" t="s">
        <x:v>479</x:v>
      </x:c>
      <x:c r="D38" s="65">
        <x:v>90</x:v>
      </x:c>
      <x:c r="E38" s="46" t="s">
        <x:v>476</x:v>
      </x:c>
      <x:c r="F38" s="87" t="s">
        <x:v>368</x:v>
      </x:c>
      <x:c r="G38" s="76" t="s">
        <x:v>477</x:v>
      </x:c>
    </x:row>
    <x:row r="39" ht="16.5" customHeight="1">
      <x:c r="A39" s="65" t="s">
        <x:v>8</x:v>
      </x:c>
      <x:c r="B39" s="82" t="s">
        <x:v>9</x:v>
      </x:c>
      <x:c r="C39" s="46" t="s">
        <x:v>480</x:v>
      </x:c>
      <x:c r="D39" s="65">
        <x:v>90</x:v>
      </x:c>
      <x:c r="E39" s="46" t="s">
        <x:v>476</x:v>
      </x:c>
      <x:c r="F39" s="87" t="s">
        <x:v>368</x:v>
      </x:c>
      <x:c r="G39" s="76" t="s">
        <x:v>477</x:v>
      </x:c>
    </x:row>
    <x:row r="40" ht="16.5" customHeight="1">
      <x:c r="A40" s="65" t="s">
        <x:v>8</x:v>
      </x:c>
      <x:c r="B40" s="82" t="s">
        <x:v>9</x:v>
      </x:c>
      <x:c r="C40" s="46" t="s">
        <x:v>481</x:v>
      </x:c>
      <x:c r="D40" s="65">
        <x:v>90</x:v>
      </x:c>
      <x:c r="E40" s="46" t="s">
        <x:v>476</x:v>
      </x:c>
      <x:c r="F40" s="87" t="s">
        <x:v>368</x:v>
      </x:c>
      <x:c r="G40" s="76" t="s">
        <x:v>477</x:v>
      </x:c>
    </x:row>
    <x:row r="41" ht="16.5" customHeight="1">
      <x:c r="A41" s="65" t="s">
        <x:v>8</x:v>
      </x:c>
      <x:c r="B41" s="82" t="s">
        <x:v>9</x:v>
      </x:c>
      <x:c r="C41" s="46" t="s">
        <x:v>482</x:v>
      </x:c>
      <x:c r="D41" s="65">
        <x:v>90</x:v>
      </x:c>
      <x:c r="E41" s="46" t="s">
        <x:v>476</x:v>
      </x:c>
      <x:c r="F41" s="87" t="s">
        <x:v>368</x:v>
      </x:c>
      <x:c r="G41" s="76" t="s">
        <x:v>477</x:v>
      </x:c>
    </x:row>
    <x:row r="42" ht="16.5" customHeight="1">
      <x:c r="A42" s="65" t="s">
        <x:v>8</x:v>
      </x:c>
      <x:c r="B42" s="82" t="s">
        <x:v>9</x:v>
      </x:c>
      <x:c r="C42" s="46" t="s">
        <x:v>483</x:v>
      </x:c>
      <x:c r="D42" s="65">
        <x:v>90</x:v>
      </x:c>
      <x:c r="E42" s="46" t="s">
        <x:v>476</x:v>
      </x:c>
      <x:c r="F42" s="87" t="s">
        <x:v>368</x:v>
      </x:c>
      <x:c r="G42" s="76" t="s">
        <x:v>477</x:v>
      </x:c>
    </x:row>
    <x:row r="43" ht="16.5" customHeight="1">
      <x:c r="A43" s="65" t="s">
        <x:v>8</x:v>
      </x:c>
      <x:c r="B43" s="82" t="s">
        <x:v>9</x:v>
      </x:c>
      <x:c r="C43" s="46" t="s">
        <x:v>484</x:v>
      </x:c>
      <x:c r="D43" s="65">
        <x:v>90</x:v>
      </x:c>
      <x:c r="E43" s="46" t="s">
        <x:v>476</x:v>
      </x:c>
      <x:c r="F43" s="87" t="s">
        <x:v>368</x:v>
      </x:c>
      <x:c r="G43" s="76" t="s">
        <x:v>477</x:v>
      </x:c>
    </x:row>
    <x:row r="44" ht="16.5" customHeight="1">
      <x:c r="A44" s="65" t="s">
        <x:v>8</x:v>
      </x:c>
      <x:c r="B44" s="82" t="s">
        <x:v>9</x:v>
      </x:c>
      <x:c r="C44" s="46" t="s">
        <x:v>485</x:v>
      </x:c>
      <x:c r="D44" s="65">
        <x:v>90</x:v>
      </x:c>
      <x:c r="E44" s="46" t="s">
        <x:v>476</x:v>
      </x:c>
      <x:c r="F44" s="87" t="s">
        <x:v>368</x:v>
      </x:c>
      <x:c r="G44" s="76" t="s">
        <x:v>477</x:v>
      </x:c>
    </x:row>
    <x:row r="45" ht="16.5" customHeight="1">
      <x:c r="A45" s="65" t="s">
        <x:v>8</x:v>
      </x:c>
      <x:c r="B45" s="82" t="s">
        <x:v>9</x:v>
      </x:c>
      <x:c r="C45" s="46" t="s">
        <x:v>487</x:v>
      </x:c>
      <x:c r="D45" s="65">
        <x:v>90</x:v>
      </x:c>
      <x:c r="E45" s="46" t="s">
        <x:v>476</x:v>
      </x:c>
      <x:c r="F45" s="87" t="s">
        <x:v>368</x:v>
      </x:c>
      <x:c r="G45" s="76" t="s">
        <x:v>477</x:v>
      </x:c>
    </x:row>
    <x:row r="46" ht="16.5" customHeight="1">
      <x:c r="A46" s="65" t="s">
        <x:v>8</x:v>
      </x:c>
      <x:c r="B46" s="82" t="s">
        <x:v>9</x:v>
      </x:c>
      <x:c r="C46" s="46" t="s">
        <x:v>488</x:v>
      </x:c>
      <x:c r="D46" s="65">
        <x:v>90</x:v>
      </x:c>
      <x:c r="E46" s="46" t="s">
        <x:v>476</x:v>
      </x:c>
      <x:c r="F46" s="87" t="s">
        <x:v>368</x:v>
      </x:c>
      <x:c r="G46" s="76" t="s">
        <x:v>477</x:v>
      </x:c>
    </x:row>
    <x:row r="47" ht="16.5" customHeight="1">
      <x:c r="A47" s="65" t="s">
        <x:v>8</x:v>
      </x:c>
      <x:c r="B47" s="82" t="s">
        <x:v>9</x:v>
      </x:c>
      <x:c r="C47" s="46" t="s">
        <x:v>489</x:v>
      </x:c>
      <x:c r="D47" s="65">
        <x:v>90</x:v>
      </x:c>
      <x:c r="E47" s="46" t="s">
        <x:v>476</x:v>
      </x:c>
      <x:c r="F47" s="87" t="s">
        <x:v>368</x:v>
      </x:c>
      <x:c r="G47" s="76" t="s">
        <x:v>477</x:v>
      </x:c>
    </x:row>
    <x:row r="48" ht="16.5" customHeight="1">
      <x:c r="A48" s="65" t="s">
        <x:v>8</x:v>
      </x:c>
      <x:c r="B48" s="82" t="s">
        <x:v>9</x:v>
      </x:c>
      <x:c r="C48" s="46" t="s">
        <x:v>490</x:v>
      </x:c>
      <x:c r="D48" s="65">
        <x:v>90</x:v>
      </x:c>
      <x:c r="E48" s="46" t="s">
        <x:v>476</x:v>
      </x:c>
      <x:c r="F48" s="87" t="s">
        <x:v>368</x:v>
      </x:c>
      <x:c r="G48" s="76" t="s">
        <x:v>477</x:v>
      </x:c>
    </x:row>
    <x:row r="49" ht="16.5" customHeight="1">
      <x:c r="A49" s="65" t="s">
        <x:v>8</x:v>
      </x:c>
      <x:c r="B49" s="82" t="s">
        <x:v>9</x:v>
      </x:c>
      <x:c r="C49" s="46" t="s">
        <x:v>491</x:v>
      </x:c>
      <x:c r="D49" s="65">
        <x:v>90</x:v>
      </x:c>
      <x:c r="E49" s="46" t="s">
        <x:v>476</x:v>
      </x:c>
      <x:c r="F49" s="87" t="s">
        <x:v>368</x:v>
      </x:c>
      <x:c r="G49" s="76" t="s">
        <x:v>477</x:v>
      </x:c>
    </x:row>
    <x:row r="50" ht="16.5" customHeight="1">
      <x:c r="A50" s="65" t="s">
        <x:v>8</x:v>
      </x:c>
      <x:c r="B50" s="82" t="s">
        <x:v>9</x:v>
      </x:c>
      <x:c r="C50" s="46" t="s">
        <x:v>492</x:v>
      </x:c>
      <x:c r="D50" s="65">
        <x:v>90</x:v>
      </x:c>
      <x:c r="E50" s="46" t="s">
        <x:v>476</x:v>
      </x:c>
      <x:c r="F50" s="87" t="s">
        <x:v>368</x:v>
      </x:c>
      <x:c r="G50" s="76" t="s">
        <x:v>477</x:v>
      </x:c>
    </x:row>
    <x:row r="51" ht="16.5" customHeight="1">
      <x:c r="A51" s="65" t="s">
        <x:v>8</x:v>
      </x:c>
      <x:c r="B51" s="82" t="s">
        <x:v>9</x:v>
      </x:c>
      <x:c r="C51" s="46" t="s">
        <x:v>493</x:v>
      </x:c>
      <x:c r="D51" s="65">
        <x:v>90</x:v>
      </x:c>
      <x:c r="E51" s="46" t="s">
        <x:v>476</x:v>
      </x:c>
      <x:c r="F51" s="87" t="s">
        <x:v>368</x:v>
      </x:c>
      <x:c r="G51" s="76" t="s">
        <x:v>477</x:v>
      </x:c>
    </x:row>
    <x:row r="52" ht="16.5" customHeight="1">
      <x:c r="A52" s="65" t="s">
        <x:v>8</x:v>
      </x:c>
      <x:c r="B52" s="82" t="s">
        <x:v>9</x:v>
      </x:c>
      <x:c r="C52" s="46" t="s">
        <x:v>494</x:v>
      </x:c>
      <x:c r="D52" s="65">
        <x:v>90</x:v>
      </x:c>
      <x:c r="E52" s="46" t="s">
        <x:v>476</x:v>
      </x:c>
      <x:c r="F52" s="87" t="s">
        <x:v>368</x:v>
      </x:c>
      <x:c r="G52" s="76" t="s">
        <x:v>477</x:v>
      </x:c>
    </x:row>
    <x:row r="53" ht="16.5" customHeight="1">
      <x:c r="A53" s="65" t="s">
        <x:v>8</x:v>
      </x:c>
      <x:c r="B53" s="82" t="s">
        <x:v>9</x:v>
      </x:c>
      <x:c r="C53" s="46" t="s">
        <x:v>495</x:v>
      </x:c>
      <x:c r="D53" s="65">
        <x:v>90</x:v>
      </x:c>
      <x:c r="E53" s="46" t="s">
        <x:v>476</x:v>
      </x:c>
      <x:c r="F53" s="87" t="s">
        <x:v>368</x:v>
      </x:c>
      <x:c r="G53" s="76" t="s">
        <x:v>477</x:v>
      </x:c>
    </x:row>
    <x:row r="54" ht="16.5" customHeight="1">
      <x:c r="A54" s="65" t="s">
        <x:v>8</x:v>
      </x:c>
      <x:c r="B54" s="82" t="s">
        <x:v>9</x:v>
      </x:c>
      <x:c r="C54" s="46" t="s">
        <x:v>496</x:v>
      </x:c>
      <x:c r="D54" s="65">
        <x:v>90</x:v>
      </x:c>
      <x:c r="E54" s="46" t="s">
        <x:v>476</x:v>
      </x:c>
      <x:c r="F54" s="87" t="s">
        <x:v>368</x:v>
      </x:c>
      <x:c r="G54" s="76" t="s">
        <x:v>477</x:v>
      </x:c>
    </x:row>
    <x:row r="55" ht="33" customHeight="1">
      <x:c r="A55" s="65" t="s">
        <x:v>13</x:v>
      </x:c>
      <x:c r="B55" s="82" t="s">
        <x:v>14</x:v>
      </x:c>
      <x:c r="C55" s="46" t="s">
        <x:v>475</x:v>
      </x:c>
      <x:c r="D55" s="65">
        <x:v>90</x:v>
      </x:c>
      <x:c r="E55" s="46" t="s">
        <x:v>476</x:v>
      </x:c>
      <x:c r="F55" s="87" t="s">
        <x:v>368</x:v>
      </x:c>
      <x:c r="G55" s="76" t="s">
        <x:v>503</x:v>
      </x:c>
    </x:row>
    <x:row r="56" ht="33" customHeight="1">
      <x:c r="A56" s="65" t="s">
        <x:v>13</x:v>
      </x:c>
      <x:c r="B56" s="82" t="s">
        <x:v>14</x:v>
      </x:c>
      <x:c r="C56" s="46" t="s">
        <x:v>478</x:v>
      </x:c>
      <x:c r="D56" s="65">
        <x:v>90</x:v>
      </x:c>
      <x:c r="E56" s="46" t="s">
        <x:v>476</x:v>
      </x:c>
      <x:c r="F56" s="87" t="s">
        <x:v>368</x:v>
      </x:c>
      <x:c r="G56" s="76" t="s">
        <x:v>503</x:v>
      </x:c>
    </x:row>
    <x:row r="57" ht="33" customHeight="1">
      <x:c r="A57" s="65" t="s">
        <x:v>13</x:v>
      </x:c>
      <x:c r="B57" s="82" t="s">
        <x:v>14</x:v>
      </x:c>
      <x:c r="C57" s="46" t="s">
        <x:v>479</x:v>
      </x:c>
      <x:c r="D57" s="65">
        <x:v>90</x:v>
      </x:c>
      <x:c r="E57" s="46" t="s">
        <x:v>476</x:v>
      </x:c>
      <x:c r="F57" s="87" t="s">
        <x:v>368</x:v>
      </x:c>
      <x:c r="G57" s="76" t="s">
        <x:v>503</x:v>
      </x:c>
    </x:row>
    <x:row r="58" ht="33" customHeight="1">
      <x:c r="A58" s="65" t="s">
        <x:v>13</x:v>
      </x:c>
      <x:c r="B58" s="82" t="s">
        <x:v>14</x:v>
      </x:c>
      <x:c r="C58" s="46" t="s">
        <x:v>480</x:v>
      </x:c>
      <x:c r="D58" s="65">
        <x:v>90</x:v>
      </x:c>
      <x:c r="E58" s="46" t="s">
        <x:v>476</x:v>
      </x:c>
      <x:c r="F58" s="87" t="s">
        <x:v>368</x:v>
      </x:c>
      <x:c r="G58" s="76" t="s">
        <x:v>503</x:v>
      </x:c>
    </x:row>
    <x:row r="59" ht="33" customHeight="1">
      <x:c r="A59" s="65" t="s">
        <x:v>13</x:v>
      </x:c>
      <x:c r="B59" s="82" t="s">
        <x:v>14</x:v>
      </x:c>
      <x:c r="C59" s="46" t="s">
        <x:v>481</x:v>
      </x:c>
      <x:c r="D59" s="65">
        <x:v>90</x:v>
      </x:c>
      <x:c r="E59" s="46" t="s">
        <x:v>476</x:v>
      </x:c>
      <x:c r="F59" s="87" t="s">
        <x:v>368</x:v>
      </x:c>
      <x:c r="G59" s="76" t="s">
        <x:v>503</x:v>
      </x:c>
    </x:row>
    <x:row r="60" ht="33" customHeight="1">
      <x:c r="A60" s="65" t="s">
        <x:v>13</x:v>
      </x:c>
      <x:c r="B60" s="82" t="s">
        <x:v>14</x:v>
      </x:c>
      <x:c r="C60" s="46" t="s">
        <x:v>482</x:v>
      </x:c>
      <x:c r="D60" s="65">
        <x:v>90</x:v>
      </x:c>
      <x:c r="E60" s="46" t="s">
        <x:v>476</x:v>
      </x:c>
      <x:c r="F60" s="87" t="s">
        <x:v>368</x:v>
      </x:c>
      <x:c r="G60" s="76" t="s">
        <x:v>503</x:v>
      </x:c>
    </x:row>
    <x:row r="61" ht="33" customHeight="1">
      <x:c r="A61" s="65" t="s">
        <x:v>13</x:v>
      </x:c>
      <x:c r="B61" s="82" t="s">
        <x:v>14</x:v>
      </x:c>
      <x:c r="C61" s="46" t="s">
        <x:v>483</x:v>
      </x:c>
      <x:c r="D61" s="65">
        <x:v>90</x:v>
      </x:c>
      <x:c r="E61" s="46" t="s">
        <x:v>476</x:v>
      </x:c>
      <x:c r="F61" s="87" t="s">
        <x:v>368</x:v>
      </x:c>
      <x:c r="G61" s="76" t="s">
        <x:v>503</x:v>
      </x:c>
    </x:row>
    <x:row r="62" ht="33" customHeight="1">
      <x:c r="A62" s="65" t="s">
        <x:v>13</x:v>
      </x:c>
      <x:c r="B62" s="82" t="s">
        <x:v>14</x:v>
      </x:c>
      <x:c r="C62" s="46" t="s">
        <x:v>484</x:v>
      </x:c>
      <x:c r="D62" s="65">
        <x:v>90</x:v>
      </x:c>
      <x:c r="E62" s="46" t="s">
        <x:v>476</x:v>
      </x:c>
      <x:c r="F62" s="87" t="s">
        <x:v>368</x:v>
      </x:c>
      <x:c r="G62" s="76" t="s">
        <x:v>503</x:v>
      </x:c>
    </x:row>
    <x:row r="63" ht="33" customHeight="1">
      <x:c r="A63" s="65" t="s">
        <x:v>13</x:v>
      </x:c>
      <x:c r="B63" s="82" t="s">
        <x:v>14</x:v>
      </x:c>
      <x:c r="C63" s="46" t="s">
        <x:v>485</x:v>
      </x:c>
      <x:c r="D63" s="65">
        <x:v>90</x:v>
      </x:c>
      <x:c r="E63" s="46" t="s">
        <x:v>476</x:v>
      </x:c>
      <x:c r="F63" s="87" t="s">
        <x:v>368</x:v>
      </x:c>
      <x:c r="G63" s="76" t="s">
        <x:v>503</x:v>
      </x:c>
    </x:row>
    <x:row r="64" ht="33" customHeight="1">
      <x:c r="A64" s="65" t="s">
        <x:v>13</x:v>
      </x:c>
      <x:c r="B64" s="82" t="s">
        <x:v>14</x:v>
      </x:c>
      <x:c r="C64" s="46" t="s">
        <x:v>487</x:v>
      </x:c>
      <x:c r="D64" s="65">
        <x:v>90</x:v>
      </x:c>
      <x:c r="E64" s="46" t="s">
        <x:v>476</x:v>
      </x:c>
      <x:c r="F64" s="87" t="s">
        <x:v>368</x:v>
      </x:c>
      <x:c r="G64" s="76" t="s">
        <x:v>503</x:v>
      </x:c>
    </x:row>
    <x:row r="65" ht="33" customHeight="1">
      <x:c r="A65" s="65" t="s">
        <x:v>13</x:v>
      </x:c>
      <x:c r="B65" s="82" t="s">
        <x:v>14</x:v>
      </x:c>
      <x:c r="C65" s="46" t="s">
        <x:v>488</x:v>
      </x:c>
      <x:c r="D65" s="65">
        <x:v>90</x:v>
      </x:c>
      <x:c r="E65" s="46" t="s">
        <x:v>476</x:v>
      </x:c>
      <x:c r="F65" s="87" t="s">
        <x:v>368</x:v>
      </x:c>
      <x:c r="G65" s="76" t="s">
        <x:v>503</x:v>
      </x:c>
    </x:row>
    <x:row r="66" ht="33" customHeight="1">
      <x:c r="A66" s="65" t="s">
        <x:v>13</x:v>
      </x:c>
      <x:c r="B66" s="82" t="s">
        <x:v>14</x:v>
      </x:c>
      <x:c r="C66" s="46" t="s">
        <x:v>489</x:v>
      </x:c>
      <x:c r="D66" s="65">
        <x:v>90</x:v>
      </x:c>
      <x:c r="E66" s="46" t="s">
        <x:v>476</x:v>
      </x:c>
      <x:c r="F66" s="87" t="s">
        <x:v>368</x:v>
      </x:c>
      <x:c r="G66" s="76" t="s">
        <x:v>503</x:v>
      </x:c>
    </x:row>
    <x:row r="67" ht="33" customHeight="1">
      <x:c r="A67" s="65" t="s">
        <x:v>13</x:v>
      </x:c>
      <x:c r="B67" s="82" t="s">
        <x:v>14</x:v>
      </x:c>
      <x:c r="C67" s="46" t="s">
        <x:v>490</x:v>
      </x:c>
      <x:c r="D67" s="65">
        <x:v>90</x:v>
      </x:c>
      <x:c r="E67" s="46" t="s">
        <x:v>476</x:v>
      </x:c>
      <x:c r="F67" s="87" t="s">
        <x:v>368</x:v>
      </x:c>
      <x:c r="G67" s="76" t="s">
        <x:v>503</x:v>
      </x:c>
    </x:row>
    <x:row r="68" ht="33" customHeight="1">
      <x:c r="A68" s="65" t="s">
        <x:v>13</x:v>
      </x:c>
      <x:c r="B68" s="82" t="s">
        <x:v>14</x:v>
      </x:c>
      <x:c r="C68" s="46" t="s">
        <x:v>491</x:v>
      </x:c>
      <x:c r="D68" s="65">
        <x:v>90</x:v>
      </x:c>
      <x:c r="E68" s="46" t="s">
        <x:v>476</x:v>
      </x:c>
      <x:c r="F68" s="87" t="s">
        <x:v>368</x:v>
      </x:c>
      <x:c r="G68" s="76" t="s">
        <x:v>503</x:v>
      </x:c>
    </x:row>
    <x:row r="69" ht="33" customHeight="1">
      <x:c r="A69" s="65" t="s">
        <x:v>13</x:v>
      </x:c>
      <x:c r="B69" s="82" t="s">
        <x:v>14</x:v>
      </x:c>
      <x:c r="C69" s="46" t="s">
        <x:v>492</x:v>
      </x:c>
      <x:c r="D69" s="65">
        <x:v>90</x:v>
      </x:c>
      <x:c r="E69" s="46" t="s">
        <x:v>476</x:v>
      </x:c>
      <x:c r="F69" s="87" t="s">
        <x:v>368</x:v>
      </x:c>
      <x:c r="G69" s="76" t="s">
        <x:v>503</x:v>
      </x:c>
    </x:row>
    <x:row r="70" ht="33" customHeight="1">
      <x:c r="A70" s="65" t="s">
        <x:v>13</x:v>
      </x:c>
      <x:c r="B70" s="82" t="s">
        <x:v>14</x:v>
      </x:c>
      <x:c r="C70" s="46" t="s">
        <x:v>493</x:v>
      </x:c>
      <x:c r="D70" s="65">
        <x:v>90</x:v>
      </x:c>
      <x:c r="E70" s="46" t="s">
        <x:v>476</x:v>
      </x:c>
      <x:c r="F70" s="87" t="s">
        <x:v>368</x:v>
      </x:c>
      <x:c r="G70" s="76" t="s">
        <x:v>503</x:v>
      </x:c>
    </x:row>
    <x:row r="71" ht="33" customHeight="1">
      <x:c r="A71" s="65" t="s">
        <x:v>13</x:v>
      </x:c>
      <x:c r="B71" s="82" t="s">
        <x:v>14</x:v>
      </x:c>
      <x:c r="C71" s="46" t="s">
        <x:v>494</x:v>
      </x:c>
      <x:c r="D71" s="65">
        <x:v>90</x:v>
      </x:c>
      <x:c r="E71" s="46" t="s">
        <x:v>476</x:v>
      </x:c>
      <x:c r="F71" s="87" t="s">
        <x:v>368</x:v>
      </x:c>
      <x:c r="G71" s="76" t="s">
        <x:v>503</x:v>
      </x:c>
    </x:row>
    <x:row r="72" ht="33" customHeight="1">
      <x:c r="A72" s="65" t="s">
        <x:v>13</x:v>
      </x:c>
      <x:c r="B72" s="82" t="s">
        <x:v>14</x:v>
      </x:c>
      <x:c r="C72" s="46" t="s">
        <x:v>495</x:v>
      </x:c>
      <x:c r="D72" s="65">
        <x:v>90</x:v>
      </x:c>
      <x:c r="E72" s="46" t="s">
        <x:v>476</x:v>
      </x:c>
      <x:c r="F72" s="87" t="s">
        <x:v>368</x:v>
      </x:c>
      <x:c r="G72" s="76" t="s">
        <x:v>503</x:v>
      </x:c>
    </x:row>
    <x:row r="73" ht="33" customHeight="1">
      <x:c r="A73" s="65" t="s">
        <x:v>13</x:v>
      </x:c>
      <x:c r="B73" s="82" t="s">
        <x:v>14</x:v>
      </x:c>
      <x:c r="C73" s="46" t="s">
        <x:v>496</x:v>
      </x:c>
      <x:c r="D73" s="65">
        <x:v>90</x:v>
      </x:c>
      <x:c r="E73" s="46" t="s">
        <x:v>476</x:v>
      </x:c>
      <x:c r="F73" s="87" t="s">
        <x:v>368</x:v>
      </x:c>
      <x:c r="G73" s="76" t="s">
        <x:v>503</x:v>
      </x:c>
    </x:row>
    <x:row r="74" ht="33" customHeight="1">
      <x:c r="A74" s="65" t="s">
        <x:v>13</x:v>
      </x:c>
      <x:c r="B74" s="82" t="s">
        <x:v>14</x:v>
      </x:c>
      <x:c r="C74" s="46" t="s">
        <x:v>497</x:v>
      </x:c>
      <x:c r="D74" s="65">
        <x:v>90</x:v>
      </x:c>
      <x:c r="E74" s="46" t="s">
        <x:v>476</x:v>
      </x:c>
      <x:c r="F74" s="87" t="s">
        <x:v>368</x:v>
      </x:c>
      <x:c r="G74" s="76" t="s">
        <x:v>503</x:v>
      </x:c>
    </x:row>
    <x:row r="75" ht="16.5" customHeight="1">
      <x:c r="A75" s="65" t="s">
        <x:v>19</x:v>
      </x:c>
      <x:c r="B75" s="82" t="s">
        <x:v>20</x:v>
      </x:c>
      <x:c r="C75" s="46" t="s">
        <x:v>475</x:v>
      </x:c>
      <x:c r="D75" s="65">
        <x:v>90</x:v>
      </x:c>
      <x:c r="E75" s="46" t="s">
        <x:v>476</x:v>
      </x:c>
      <x:c r="F75" s="87" t="s">
        <x:v>368</x:v>
      </x:c>
      <x:c r="G75" s="76" t="s">
        <x:v>477</x:v>
      </x:c>
    </x:row>
    <x:row r="76" ht="16.5" customHeight="1">
      <x:c r="A76" s="65" t="s">
        <x:v>19</x:v>
      </x:c>
      <x:c r="B76" s="82" t="s">
        <x:v>20</x:v>
      </x:c>
      <x:c r="C76" s="46" t="s">
        <x:v>478</x:v>
      </x:c>
      <x:c r="D76" s="65">
        <x:v>90</x:v>
      </x:c>
      <x:c r="E76" s="46" t="s">
        <x:v>476</x:v>
      </x:c>
      <x:c r="F76" s="87" t="s">
        <x:v>368</x:v>
      </x:c>
      <x:c r="G76" s="76" t="s">
        <x:v>477</x:v>
      </x:c>
    </x:row>
    <x:row r="77" ht="16.5" customHeight="1">
      <x:c r="A77" s="65" t="s">
        <x:v>19</x:v>
      </x:c>
      <x:c r="B77" s="82" t="s">
        <x:v>20</x:v>
      </x:c>
      <x:c r="C77" s="46" t="s">
        <x:v>479</x:v>
      </x:c>
      <x:c r="D77" s="65">
        <x:v>90</x:v>
      </x:c>
      <x:c r="E77" s="46" t="s">
        <x:v>476</x:v>
      </x:c>
      <x:c r="F77" s="87" t="s">
        <x:v>368</x:v>
      </x:c>
      <x:c r="G77" s="76" t="s">
        <x:v>477</x:v>
      </x:c>
    </x:row>
    <x:row r="78" ht="16.5" customHeight="1">
      <x:c r="A78" s="65" t="s">
        <x:v>19</x:v>
      </x:c>
      <x:c r="B78" s="82" t="s">
        <x:v>20</x:v>
      </x:c>
      <x:c r="C78" s="46" t="s">
        <x:v>480</x:v>
      </x:c>
      <x:c r="D78" s="65">
        <x:v>90</x:v>
      </x:c>
      <x:c r="E78" s="46" t="s">
        <x:v>476</x:v>
      </x:c>
      <x:c r="F78" s="87" t="s">
        <x:v>368</x:v>
      </x:c>
      <x:c r="G78" s="76" t="s">
        <x:v>477</x:v>
      </x:c>
    </x:row>
    <x:row r="79" ht="33" customHeight="1">
      <x:c r="A79" s="65" t="s">
        <x:v>19</x:v>
      </x:c>
      <x:c r="B79" s="82" t="s">
        <x:v>20</x:v>
      </x:c>
      <x:c r="C79" s="46" t="s">
        <x:v>481</x:v>
      </x:c>
      <x:c r="D79" s="65">
        <x:v>90</x:v>
      </x:c>
      <x:c r="E79" s="46" t="s">
        <x:v>504</x:v>
      </x:c>
      <x:c r="F79" s="87" t="s">
        <x:v>368</x:v>
      </x:c>
      <x:c r="G79" s="76" t="s">
        <x:v>505</x:v>
      </x:c>
    </x:row>
    <x:row r="80" ht="16.5" customHeight="1">
      <x:c r="A80" s="65" t="s">
        <x:v>19</x:v>
      </x:c>
      <x:c r="B80" s="82" t="s">
        <x:v>20</x:v>
      </x:c>
      <x:c r="C80" s="46" t="s">
        <x:v>482</x:v>
      </x:c>
      <x:c r="D80" s="65">
        <x:v>90</x:v>
      </x:c>
      <x:c r="E80" s="46" t="s">
        <x:v>476</x:v>
      </x:c>
      <x:c r="F80" s="87" t="s">
        <x:v>368</x:v>
      </x:c>
      <x:c r="G80" s="76" t="s">
        <x:v>477</x:v>
      </x:c>
    </x:row>
    <x:row r="81" ht="16.5" customHeight="1">
      <x:c r="A81" s="65" t="s">
        <x:v>19</x:v>
      </x:c>
      <x:c r="B81" s="82" t="s">
        <x:v>20</x:v>
      </x:c>
      <x:c r="C81" s="46" t="s">
        <x:v>483</x:v>
      </x:c>
      <x:c r="D81" s="65">
        <x:v>90</x:v>
      </x:c>
      <x:c r="E81" s="46" t="s">
        <x:v>476</x:v>
      </x:c>
      <x:c r="F81" s="87" t="s">
        <x:v>368</x:v>
      </x:c>
      <x:c r="G81" s="76" t="s">
        <x:v>477</x:v>
      </x:c>
    </x:row>
    <x:row r="82" ht="16.5" customHeight="1">
      <x:c r="A82" s="65" t="s">
        <x:v>19</x:v>
      </x:c>
      <x:c r="B82" s="82" t="s">
        <x:v>20</x:v>
      </x:c>
      <x:c r="C82" s="46" t="s">
        <x:v>484</x:v>
      </x:c>
      <x:c r="D82" s="65">
        <x:v>90</x:v>
      </x:c>
      <x:c r="E82" s="46" t="s">
        <x:v>476</x:v>
      </x:c>
      <x:c r="F82" s="87" t="s">
        <x:v>368</x:v>
      </x:c>
      <x:c r="G82" s="76" t="s">
        <x:v>477</x:v>
      </x:c>
    </x:row>
    <x:row r="83" ht="16.5" customHeight="1">
      <x:c r="A83" s="65" t="s">
        <x:v>19</x:v>
      </x:c>
      <x:c r="B83" s="82" t="s">
        <x:v>20</x:v>
      </x:c>
      <x:c r="C83" s="46" t="s">
        <x:v>485</x:v>
      </x:c>
      <x:c r="D83" s="65">
        <x:v>90</x:v>
      </x:c>
      <x:c r="E83" s="46" t="s">
        <x:v>476</x:v>
      </x:c>
      <x:c r="F83" s="87" t="s">
        <x:v>368</x:v>
      </x:c>
      <x:c r="G83" s="76" t="s">
        <x:v>477</x:v>
      </x:c>
    </x:row>
    <x:row r="84" ht="16.5" customHeight="1">
      <x:c r="A84" s="65" t="s">
        <x:v>19</x:v>
      </x:c>
      <x:c r="B84" s="82" t="s">
        <x:v>20</x:v>
      </x:c>
      <x:c r="C84" s="46" t="s">
        <x:v>487</x:v>
      </x:c>
      <x:c r="D84" s="65">
        <x:v>90</x:v>
      </x:c>
      <x:c r="E84" s="46" t="s">
        <x:v>476</x:v>
      </x:c>
      <x:c r="F84" s="87" t="s">
        <x:v>368</x:v>
      </x:c>
      <x:c r="G84" s="76" t="s">
        <x:v>477</x:v>
      </x:c>
    </x:row>
    <x:row r="85" ht="16.5" customHeight="1">
      <x:c r="A85" s="65" t="s">
        <x:v>19</x:v>
      </x:c>
      <x:c r="B85" s="82" t="s">
        <x:v>20</x:v>
      </x:c>
      <x:c r="C85" s="46" t="s">
        <x:v>488</x:v>
      </x:c>
      <x:c r="D85" s="65">
        <x:v>90</x:v>
      </x:c>
      <x:c r="E85" s="46" t="s">
        <x:v>476</x:v>
      </x:c>
      <x:c r="F85" s="87" t="s">
        <x:v>368</x:v>
      </x:c>
      <x:c r="G85" s="76" t="s">
        <x:v>477</x:v>
      </x:c>
    </x:row>
    <x:row r="86" ht="16.5" customHeight="1">
      <x:c r="A86" s="65" t="s">
        <x:v>19</x:v>
      </x:c>
      <x:c r="B86" s="82" t="s">
        <x:v>20</x:v>
      </x:c>
      <x:c r="C86" s="46" t="s">
        <x:v>489</x:v>
      </x:c>
      <x:c r="D86" s="65">
        <x:v>90</x:v>
      </x:c>
      <x:c r="E86" s="46" t="s">
        <x:v>476</x:v>
      </x:c>
      <x:c r="F86" s="87" t="s">
        <x:v>368</x:v>
      </x:c>
      <x:c r="G86" s="76" t="s">
        <x:v>477</x:v>
      </x:c>
    </x:row>
    <x:row r="87" ht="16.5" customHeight="1">
      <x:c r="A87" s="65" t="s">
        <x:v>19</x:v>
      </x:c>
      <x:c r="B87" s="82" t="s">
        <x:v>20</x:v>
      </x:c>
      <x:c r="C87" s="46" t="s">
        <x:v>490</x:v>
      </x:c>
      <x:c r="D87" s="65">
        <x:v>90</x:v>
      </x:c>
      <x:c r="E87" s="46" t="s">
        <x:v>476</x:v>
      </x:c>
      <x:c r="F87" s="87" t="s">
        <x:v>368</x:v>
      </x:c>
      <x:c r="G87" s="76" t="s">
        <x:v>477</x:v>
      </x:c>
    </x:row>
    <x:row r="88" ht="16.5" customHeight="1">
      <x:c r="A88" s="65" t="s">
        <x:v>19</x:v>
      </x:c>
      <x:c r="B88" s="82" t="s">
        <x:v>20</x:v>
      </x:c>
      <x:c r="C88" s="46" t="s">
        <x:v>491</x:v>
      </x:c>
      <x:c r="D88" s="65">
        <x:v>90</x:v>
      </x:c>
      <x:c r="E88" s="46" t="s">
        <x:v>476</x:v>
      </x:c>
      <x:c r="F88" s="87" t="s">
        <x:v>368</x:v>
      </x:c>
      <x:c r="G88" s="76" t="s">
        <x:v>477</x:v>
      </x:c>
    </x:row>
    <x:row r="89" ht="16.5" customHeight="1">
      <x:c r="A89" s="65" t="s">
        <x:v>19</x:v>
      </x:c>
      <x:c r="B89" s="82" t="s">
        <x:v>20</x:v>
      </x:c>
      <x:c r="C89" s="46" t="s">
        <x:v>492</x:v>
      </x:c>
      <x:c r="D89" s="65">
        <x:v>90</x:v>
      </x:c>
      <x:c r="E89" s="46" t="s">
        <x:v>476</x:v>
      </x:c>
      <x:c r="F89" s="87" t="s">
        <x:v>368</x:v>
      </x:c>
      <x:c r="G89" s="76" t="s">
        <x:v>477</x:v>
      </x:c>
    </x:row>
    <x:row r="90" ht="16.5" customHeight="1">
      <x:c r="A90" s="65" t="s">
        <x:v>19</x:v>
      </x:c>
      <x:c r="B90" s="82" t="s">
        <x:v>20</x:v>
      </x:c>
      <x:c r="C90" s="46" t="s">
        <x:v>493</x:v>
      </x:c>
      <x:c r="D90" s="65">
        <x:v>90</x:v>
      </x:c>
      <x:c r="E90" s="46" t="s">
        <x:v>476</x:v>
      </x:c>
      <x:c r="F90" s="87" t="s">
        <x:v>368</x:v>
      </x:c>
      <x:c r="G90" s="76" t="s">
        <x:v>477</x:v>
      </x:c>
    </x:row>
    <x:row r="91" ht="16.5" customHeight="1">
      <x:c r="A91" s="65" t="s">
        <x:v>19</x:v>
      </x:c>
      <x:c r="B91" s="82" t="s">
        <x:v>20</x:v>
      </x:c>
      <x:c r="C91" s="46" t="s">
        <x:v>494</x:v>
      </x:c>
      <x:c r="D91" s="65">
        <x:v>90</x:v>
      </x:c>
      <x:c r="E91" s="46" t="s">
        <x:v>476</x:v>
      </x:c>
      <x:c r="F91" s="87" t="s">
        <x:v>368</x:v>
      </x:c>
      <x:c r="G91" s="76" t="s">
        <x:v>477</x:v>
      </x:c>
    </x:row>
    <x:row r="92" ht="16.5" customHeight="1">
      <x:c r="A92" s="65" t="s">
        <x:v>19</x:v>
      </x:c>
      <x:c r="B92" s="82" t="s">
        <x:v>20</x:v>
      </x:c>
      <x:c r="C92" s="46" t="s">
        <x:v>495</x:v>
      </x:c>
      <x:c r="D92" s="65">
        <x:v>90</x:v>
      </x:c>
      <x:c r="E92" s="46" t="s">
        <x:v>476</x:v>
      </x:c>
      <x:c r="F92" s="87" t="s">
        <x:v>368</x:v>
      </x:c>
      <x:c r="G92" s="76" t="s">
        <x:v>477</x:v>
      </x:c>
    </x:row>
    <x:row r="93" ht="16.5" customHeight="1">
      <x:c r="A93" s="65" t="s">
        <x:v>19</x:v>
      </x:c>
      <x:c r="B93" s="82" t="s">
        <x:v>20</x:v>
      </x:c>
      <x:c r="C93" s="46" t="s">
        <x:v>496</x:v>
      </x:c>
      <x:c r="D93" s="65">
        <x:v>90</x:v>
      </x:c>
      <x:c r="E93" s="46" t="s">
        <x:v>476</x:v>
      </x:c>
      <x:c r="F93" s="87" t="s">
        <x:v>368</x:v>
      </x:c>
      <x:c r="G93" s="76" t="s">
        <x:v>477</x:v>
      </x:c>
    </x:row>
    <x:row r="94" ht="16.5" customHeight="1">
      <x:c r="A94" s="65" t="s">
        <x:v>19</x:v>
      </x:c>
      <x:c r="B94" s="82" t="s">
        <x:v>20</x:v>
      </x:c>
      <x:c r="C94" s="46" t="s">
        <x:v>497</x:v>
      </x:c>
      <x:c r="D94" s="65">
        <x:v>90</x:v>
      </x:c>
      <x:c r="E94" s="46" t="s">
        <x:v>476</x:v>
      </x:c>
      <x:c r="F94" s="87" t="s">
        <x:v>368</x:v>
      </x:c>
      <x:c r="G94" s="76" t="s">
        <x:v>477</x:v>
      </x:c>
    </x:row>
    <x:row r="95" ht="16.5" customHeight="1">
      <x:c r="A95" s="65" t="s">
        <x:v>19</x:v>
      </x:c>
      <x:c r="B95" s="82" t="s">
        <x:v>20</x:v>
      </x:c>
      <x:c r="C95" s="46" t="s">
        <x:v>498</x:v>
      </x:c>
      <x:c r="D95" s="65">
        <x:v>90</x:v>
      </x:c>
      <x:c r="E95" s="46" t="s">
        <x:v>476</x:v>
      </x:c>
      <x:c r="F95" s="87" t="s">
        <x:v>368</x:v>
      </x:c>
      <x:c r="G95" s="76" t="s">
        <x:v>477</x:v>
      </x:c>
    </x:row>
    <x:row r="96" ht="16.5" customHeight="1">
      <x:c r="A96" s="65" t="s">
        <x:v>19</x:v>
      </x:c>
      <x:c r="B96" s="82" t="s">
        <x:v>20</x:v>
      </x:c>
      <x:c r="C96" s="46" t="s">
        <x:v>499</x:v>
      </x:c>
      <x:c r="D96" s="65">
        <x:v>90</x:v>
      </x:c>
      <x:c r="E96" s="46" t="s">
        <x:v>476</x:v>
      </x:c>
      <x:c r="F96" s="87" t="s">
        <x:v>368</x:v>
      </x:c>
      <x:c r="G96" s="76" t="s">
        <x:v>477</x:v>
      </x:c>
    </x:row>
    <x:row r="97" ht="16.5" customHeight="1">
      <x:c r="A97" s="65" t="s">
        <x:v>19</x:v>
      </x:c>
      <x:c r="B97" s="82" t="s">
        <x:v>20</x:v>
      </x:c>
      <x:c r="C97" s="46" t="s">
        <x:v>500</x:v>
      </x:c>
      <x:c r="D97" s="65">
        <x:v>90</x:v>
      </x:c>
      <x:c r="E97" s="46" t="s">
        <x:v>476</x:v>
      </x:c>
      <x:c r="F97" s="87" t="s">
        <x:v>368</x:v>
      </x:c>
      <x:c r="G97" s="76" t="s">
        <x:v>477</x:v>
      </x:c>
    </x:row>
    <x:row r="98" ht="16.5" customHeight="1">
      <x:c r="A98" s="65" t="s">
        <x:v>19</x:v>
      </x:c>
      <x:c r="B98" s="82" t="s">
        <x:v>20</x:v>
      </x:c>
      <x:c r="C98" s="46" t="s">
        <x:v>501</x:v>
      </x:c>
      <x:c r="D98" s="65">
        <x:v>90</x:v>
      </x:c>
      <x:c r="E98" s="46" t="s">
        <x:v>476</x:v>
      </x:c>
      <x:c r="F98" s="87" t="s">
        <x:v>368</x:v>
      </x:c>
      <x:c r="G98" s="76" t="s">
        <x:v>477</x:v>
      </x:c>
    </x:row>
    <x:row r="99" ht="16.5" customHeight="1">
      <x:c r="A99" s="65" t="s">
        <x:v>19</x:v>
      </x:c>
      <x:c r="B99" s="82" t="s">
        <x:v>20</x:v>
      </x:c>
      <x:c r="C99" s="46" t="s">
        <x:v>502</x:v>
      </x:c>
      <x:c r="D99" s="65">
        <x:v>90</x:v>
      </x:c>
      <x:c r="E99" s="46" t="s">
        <x:v>476</x:v>
      </x:c>
      <x:c r="F99" s="87" t="s">
        <x:v>368</x:v>
      </x:c>
      <x:c r="G99" s="76" t="s">
        <x:v>477</x:v>
      </x:c>
    </x:row>
    <x:row r="100" ht="16.5" customHeight="1">
      <x:c r="A100" s="65" t="s">
        <x:v>19</x:v>
      </x:c>
      <x:c r="B100" s="82" t="s">
        <x:v>20</x:v>
      </x:c>
      <x:c r="C100" s="46" t="s">
        <x:v>506</x:v>
      </x:c>
      <x:c r="D100" s="65">
        <x:v>90</x:v>
      </x:c>
      <x:c r="E100" s="46" t="s">
        <x:v>476</x:v>
      </x:c>
      <x:c r="F100" s="87" t="s">
        <x:v>368</x:v>
      </x:c>
      <x:c r="G100" s="76" t="s">
        <x:v>477</x:v>
      </x:c>
    </x:row>
    <x:row r="101" ht="16.5" customHeight="1">
      <x:c r="A101" s="65" t="s">
        <x:v>19</x:v>
      </x:c>
      <x:c r="B101" s="82" t="s">
        <x:v>20</x:v>
      </x:c>
      <x:c r="C101" s="46" t="s">
        <x:v>507</x:v>
      </x:c>
      <x:c r="D101" s="65">
        <x:v>90</x:v>
      </x:c>
      <x:c r="E101" s="46" t="s">
        <x:v>476</x:v>
      </x:c>
      <x:c r="F101" s="87" t="s">
        <x:v>368</x:v>
      </x:c>
      <x:c r="G101" s="76" t="s">
        <x:v>477</x:v>
      </x:c>
    </x:row>
    <x:row r="102" ht="49.5" customHeight="1">
      <x:c r="A102" s="65" t="s">
        <x:v>25</x:v>
      </x:c>
      <x:c r="B102" s="82" t="s">
        <x:v>26</x:v>
      </x:c>
      <x:c r="C102" s="46" t="s">
        <x:v>475</x:v>
      </x:c>
      <x:c r="D102" s="65">
        <x:v>90</x:v>
      </x:c>
      <x:c r="E102" s="46" t="s">
        <x:v>476</x:v>
      </x:c>
      <x:c r="F102" s="87" t="s">
        <x:v>368</x:v>
      </x:c>
      <x:c r="G102" s="76" t="s">
        <x:v>508</x:v>
      </x:c>
    </x:row>
    <x:row r="103" ht="49.5" customHeight="1">
      <x:c r="A103" s="65" t="s">
        <x:v>25</x:v>
      </x:c>
      <x:c r="B103" s="82" t="s">
        <x:v>26</x:v>
      </x:c>
      <x:c r="C103" s="46" t="s">
        <x:v>478</x:v>
      </x:c>
      <x:c r="D103" s="65">
        <x:v>90</x:v>
      </x:c>
      <x:c r="E103" s="46" t="s">
        <x:v>476</x:v>
      </x:c>
      <x:c r="F103" s="87" t="s">
        <x:v>368</x:v>
      </x:c>
      <x:c r="G103" s="76" t="s">
        <x:v>508</x:v>
      </x:c>
    </x:row>
    <x:row r="104" ht="49.5" customHeight="1">
      <x:c r="A104" s="65" t="s">
        <x:v>25</x:v>
      </x:c>
      <x:c r="B104" s="82" t="s">
        <x:v>26</x:v>
      </x:c>
      <x:c r="C104" s="46" t="s">
        <x:v>479</x:v>
      </x:c>
      <x:c r="D104" s="65">
        <x:v>90</x:v>
      </x:c>
      <x:c r="E104" s="46" t="s">
        <x:v>476</x:v>
      </x:c>
      <x:c r="F104" s="87" t="s">
        <x:v>368</x:v>
      </x:c>
      <x:c r="G104" s="76" t="s">
        <x:v>508</x:v>
      </x:c>
    </x:row>
    <x:row r="105" ht="49.5" customHeight="1">
      <x:c r="A105" s="65" t="s">
        <x:v>25</x:v>
      </x:c>
      <x:c r="B105" s="82" t="s">
        <x:v>26</x:v>
      </x:c>
      <x:c r="C105" s="46" t="s">
        <x:v>480</x:v>
      </x:c>
      <x:c r="D105" s="65">
        <x:v>90</x:v>
      </x:c>
      <x:c r="E105" s="46" t="s">
        <x:v>476</x:v>
      </x:c>
      <x:c r="F105" s="87" t="s">
        <x:v>368</x:v>
      </x:c>
      <x:c r="G105" s="76" t="s">
        <x:v>508</x:v>
      </x:c>
    </x:row>
    <x:row r="106" ht="49.5" customHeight="1">
      <x:c r="A106" s="65" t="s">
        <x:v>25</x:v>
      </x:c>
      <x:c r="B106" s="82" t="s">
        <x:v>26</x:v>
      </x:c>
      <x:c r="C106" s="46" t="s">
        <x:v>481</x:v>
      </x:c>
      <x:c r="D106" s="65">
        <x:v>90</x:v>
      </x:c>
      <x:c r="E106" s="46" t="s">
        <x:v>476</x:v>
      </x:c>
      <x:c r="F106" s="87" t="s">
        <x:v>368</x:v>
      </x:c>
      <x:c r="G106" s="76" t="s">
        <x:v>508</x:v>
      </x:c>
    </x:row>
    <x:row r="107" ht="49.5" customHeight="1">
      <x:c r="A107" s="65" t="s">
        <x:v>25</x:v>
      </x:c>
      <x:c r="B107" s="82" t="s">
        <x:v>26</x:v>
      </x:c>
      <x:c r="C107" s="46" t="s">
        <x:v>482</x:v>
      </x:c>
      <x:c r="D107" s="65">
        <x:v>90</x:v>
      </x:c>
      <x:c r="E107" s="46" t="s">
        <x:v>476</x:v>
      </x:c>
      <x:c r="F107" s="87" t="s">
        <x:v>368</x:v>
      </x:c>
      <x:c r="G107" s="76" t="s">
        <x:v>508</x:v>
      </x:c>
    </x:row>
    <x:row r="108" ht="49.5" customHeight="1">
      <x:c r="A108" s="65" t="s">
        <x:v>25</x:v>
      </x:c>
      <x:c r="B108" s="82" t="s">
        <x:v>26</x:v>
      </x:c>
      <x:c r="C108" s="46" t="s">
        <x:v>483</x:v>
      </x:c>
      <x:c r="D108" s="65">
        <x:v>90</x:v>
      </x:c>
      <x:c r="E108" s="46" t="s">
        <x:v>476</x:v>
      </x:c>
      <x:c r="F108" s="87" t="s">
        <x:v>368</x:v>
      </x:c>
      <x:c r="G108" s="76" t="s">
        <x:v>508</x:v>
      </x:c>
    </x:row>
    <x:row r="109" ht="49.5" customHeight="1">
      <x:c r="A109" s="65" t="s">
        <x:v>25</x:v>
      </x:c>
      <x:c r="B109" s="82" t="s">
        <x:v>26</x:v>
      </x:c>
      <x:c r="C109" s="46" t="s">
        <x:v>484</x:v>
      </x:c>
      <x:c r="D109" s="65">
        <x:v>90</x:v>
      </x:c>
      <x:c r="E109" s="46" t="s">
        <x:v>476</x:v>
      </x:c>
      <x:c r="F109" s="87" t="s">
        <x:v>368</x:v>
      </x:c>
      <x:c r="G109" s="76" t="s">
        <x:v>508</x:v>
      </x:c>
    </x:row>
    <x:row r="110" ht="49.5" customHeight="1">
      <x:c r="A110" s="65" t="s">
        <x:v>25</x:v>
      </x:c>
      <x:c r="B110" s="82" t="s">
        <x:v>26</x:v>
      </x:c>
      <x:c r="C110" s="46" t="s">
        <x:v>485</x:v>
      </x:c>
      <x:c r="D110" s="65">
        <x:v>90</x:v>
      </x:c>
      <x:c r="E110" s="46" t="s">
        <x:v>476</x:v>
      </x:c>
      <x:c r="F110" s="87" t="s">
        <x:v>368</x:v>
      </x:c>
      <x:c r="G110" s="76" t="s">
        <x:v>508</x:v>
      </x:c>
    </x:row>
    <x:row r="111" ht="49.5" customHeight="1">
      <x:c r="A111" s="65" t="s">
        <x:v>25</x:v>
      </x:c>
      <x:c r="B111" s="82" t="s">
        <x:v>26</x:v>
      </x:c>
      <x:c r="C111" s="46" t="s">
        <x:v>487</x:v>
      </x:c>
      <x:c r="D111" s="65">
        <x:v>90</x:v>
      </x:c>
      <x:c r="E111" s="46" t="s">
        <x:v>476</x:v>
      </x:c>
      <x:c r="F111" s="87" t="s">
        <x:v>368</x:v>
      </x:c>
      <x:c r="G111" s="76" t="s">
        <x:v>508</x:v>
      </x:c>
    </x:row>
    <x:row r="112" ht="49.5" customHeight="1">
      <x:c r="A112" s="65" t="s">
        <x:v>25</x:v>
      </x:c>
      <x:c r="B112" s="82" t="s">
        <x:v>26</x:v>
      </x:c>
      <x:c r="C112" s="46" t="s">
        <x:v>488</x:v>
      </x:c>
      <x:c r="D112" s="65">
        <x:v>90</x:v>
      </x:c>
      <x:c r="E112" s="46" t="s">
        <x:v>476</x:v>
      </x:c>
      <x:c r="F112" s="87" t="s">
        <x:v>368</x:v>
      </x:c>
      <x:c r="G112" s="76" t="s">
        <x:v>508</x:v>
      </x:c>
    </x:row>
    <x:row r="113" ht="49.5" customHeight="1">
      <x:c r="A113" s="65" t="s">
        <x:v>25</x:v>
      </x:c>
      <x:c r="B113" s="82" t="s">
        <x:v>26</x:v>
      </x:c>
      <x:c r="C113" s="46" t="s">
        <x:v>489</x:v>
      </x:c>
      <x:c r="D113" s="65">
        <x:v>90</x:v>
      </x:c>
      <x:c r="E113" s="46" t="s">
        <x:v>476</x:v>
      </x:c>
      <x:c r="F113" s="87" t="s">
        <x:v>368</x:v>
      </x:c>
      <x:c r="G113" s="76" t="s">
        <x:v>508</x:v>
      </x:c>
    </x:row>
    <x:row r="114" ht="49.5" customHeight="1">
      <x:c r="A114" s="65" t="s">
        <x:v>25</x:v>
      </x:c>
      <x:c r="B114" s="82" t="s">
        <x:v>26</x:v>
      </x:c>
      <x:c r="C114" s="46" t="s">
        <x:v>490</x:v>
      </x:c>
      <x:c r="D114" s="65">
        <x:v>90</x:v>
      </x:c>
      <x:c r="E114" s="46" t="s">
        <x:v>476</x:v>
      </x:c>
      <x:c r="F114" s="87" t="s">
        <x:v>368</x:v>
      </x:c>
      <x:c r="G114" s="76" t="s">
        <x:v>508</x:v>
      </x:c>
    </x:row>
    <x:row r="115" ht="49.5" customHeight="1">
      <x:c r="A115" s="65" t="s">
        <x:v>25</x:v>
      </x:c>
      <x:c r="B115" s="82" t="s">
        <x:v>26</x:v>
      </x:c>
      <x:c r="C115" s="46" t="s">
        <x:v>491</x:v>
      </x:c>
      <x:c r="D115" s="65">
        <x:v>90</x:v>
      </x:c>
      <x:c r="E115" s="46" t="s">
        <x:v>476</x:v>
      </x:c>
      <x:c r="F115" s="87" t="s">
        <x:v>368</x:v>
      </x:c>
      <x:c r="G115" s="76" t="s">
        <x:v>508</x:v>
      </x:c>
    </x:row>
    <x:row r="116" ht="49.5" customHeight="1">
      <x:c r="A116" s="65" t="s">
        <x:v>25</x:v>
      </x:c>
      <x:c r="B116" s="82" t="s">
        <x:v>26</x:v>
      </x:c>
      <x:c r="C116" s="46" t="s">
        <x:v>492</x:v>
      </x:c>
      <x:c r="D116" s="65">
        <x:v>90</x:v>
      </x:c>
      <x:c r="E116" s="46" t="s">
        <x:v>476</x:v>
      </x:c>
      <x:c r="F116" s="87" t="s">
        <x:v>368</x:v>
      </x:c>
      <x:c r="G116" s="76" t="s">
        <x:v>508</x:v>
      </x:c>
    </x:row>
    <x:row r="117" ht="49.5" customHeight="1">
      <x:c r="A117" s="65" t="s">
        <x:v>25</x:v>
      </x:c>
      <x:c r="B117" s="82" t="s">
        <x:v>26</x:v>
      </x:c>
      <x:c r="C117" s="46" t="s">
        <x:v>493</x:v>
      </x:c>
      <x:c r="D117" s="65">
        <x:v>90</x:v>
      </x:c>
      <x:c r="E117" s="46" t="s">
        <x:v>476</x:v>
      </x:c>
      <x:c r="F117" s="87" t="s">
        <x:v>368</x:v>
      </x:c>
      <x:c r="G117" s="76" t="s">
        <x:v>508</x:v>
      </x:c>
    </x:row>
    <x:row r="118" ht="49.5" customHeight="1">
      <x:c r="A118" s="65" t="s">
        <x:v>25</x:v>
      </x:c>
      <x:c r="B118" s="82" t="s">
        <x:v>26</x:v>
      </x:c>
      <x:c r="C118" s="46" t="s">
        <x:v>494</x:v>
      </x:c>
      <x:c r="D118" s="65">
        <x:v>90</x:v>
      </x:c>
      <x:c r="E118" s="46" t="s">
        <x:v>476</x:v>
      </x:c>
      <x:c r="F118" s="87" t="s">
        <x:v>368</x:v>
      </x:c>
      <x:c r="G118" s="76" t="s">
        <x:v>508</x:v>
      </x:c>
    </x:row>
    <x:row r="119" ht="49.5" customHeight="1">
      <x:c r="A119" s="65" t="s">
        <x:v>25</x:v>
      </x:c>
      <x:c r="B119" s="82" t="s">
        <x:v>26</x:v>
      </x:c>
      <x:c r="C119" s="46" t="s">
        <x:v>495</x:v>
      </x:c>
      <x:c r="D119" s="65">
        <x:v>90</x:v>
      </x:c>
      <x:c r="E119" s="46" t="s">
        <x:v>476</x:v>
      </x:c>
      <x:c r="F119" s="87" t="s">
        <x:v>368</x:v>
      </x:c>
      <x:c r="G119" s="76" t="s">
        <x:v>508</x:v>
      </x:c>
    </x:row>
    <x:row r="120" ht="82.5" customHeight="1">
      <x:c r="A120" s="65" t="s">
        <x:v>25</x:v>
      </x:c>
      <x:c r="B120" s="82" t="s">
        <x:v>26</x:v>
      </x:c>
      <x:c r="C120" s="46" t="s">
        <x:v>496</x:v>
      </x:c>
      <x:c r="D120" s="65">
        <x:v>90</x:v>
      </x:c>
      <x:c r="E120" s="46" t="s">
        <x:v>476</x:v>
      </x:c>
      <x:c r="F120" s="87" t="s">
        <x:v>509</x:v>
      </x:c>
      <x:c r="G120" s="76" t="s">
        <x:v>510</x:v>
      </x:c>
    </x:row>
    <x:row r="121" ht="16.5" customHeight="1">
      <x:c r="A121" s="65" t="s">
        <x:v>31</x:v>
      </x:c>
      <x:c r="B121" s="82" t="s">
        <x:v>32</x:v>
      </x:c>
      <x:c r="C121" s="46" t="s">
        <x:v>475</x:v>
      </x:c>
      <x:c r="D121" s="65">
        <x:v>90</x:v>
      </x:c>
      <x:c r="E121" s="46" t="s">
        <x:v>476</x:v>
      </x:c>
      <x:c r="F121" s="87" t="s">
        <x:v>368</x:v>
      </x:c>
      <x:c r="G121" s="76" t="s">
        <x:v>511</x:v>
      </x:c>
    </x:row>
    <x:row r="122" ht="16.5" customHeight="1">
      <x:c r="A122" s="65" t="s">
        <x:v>31</x:v>
      </x:c>
      <x:c r="B122" s="82" t="s">
        <x:v>32</x:v>
      </x:c>
      <x:c r="C122" s="46" t="s">
        <x:v>478</x:v>
      </x:c>
      <x:c r="D122" s="65">
        <x:v>90</x:v>
      </x:c>
      <x:c r="E122" s="46" t="s">
        <x:v>476</x:v>
      </x:c>
      <x:c r="F122" s="87" t="s">
        <x:v>368</x:v>
      </x:c>
      <x:c r="G122" s="76" t="s">
        <x:v>511</x:v>
      </x:c>
    </x:row>
    <x:row r="123" ht="16.5" customHeight="1">
      <x:c r="A123" s="65" t="s">
        <x:v>31</x:v>
      </x:c>
      <x:c r="B123" s="82" t="s">
        <x:v>32</x:v>
      </x:c>
      <x:c r="C123" s="46" t="s">
        <x:v>479</x:v>
      </x:c>
      <x:c r="D123" s="65">
        <x:v>90</x:v>
      </x:c>
      <x:c r="E123" s="46" t="s">
        <x:v>476</x:v>
      </x:c>
      <x:c r="F123" s="87" t="s">
        <x:v>368</x:v>
      </x:c>
      <x:c r="G123" s="76" t="s">
        <x:v>511</x:v>
      </x:c>
    </x:row>
    <x:row r="124" ht="16.5" customHeight="1">
      <x:c r="A124" s="65" t="s">
        <x:v>31</x:v>
      </x:c>
      <x:c r="B124" s="82" t="s">
        <x:v>32</x:v>
      </x:c>
      <x:c r="C124" s="46" t="s">
        <x:v>480</x:v>
      </x:c>
      <x:c r="D124" s="65">
        <x:v>90</x:v>
      </x:c>
      <x:c r="E124" s="46" t="s">
        <x:v>476</x:v>
      </x:c>
      <x:c r="F124" s="87" t="s">
        <x:v>368</x:v>
      </x:c>
      <x:c r="G124" s="76" t="s">
        <x:v>511</x:v>
      </x:c>
    </x:row>
    <x:row r="125" ht="16.5" customHeight="1">
      <x:c r="A125" s="65" t="s">
        <x:v>31</x:v>
      </x:c>
      <x:c r="B125" s="82" t="s">
        <x:v>32</x:v>
      </x:c>
      <x:c r="C125" s="46" t="s">
        <x:v>481</x:v>
      </x:c>
      <x:c r="D125" s="65">
        <x:v>90</x:v>
      </x:c>
      <x:c r="E125" s="46" t="s">
        <x:v>476</x:v>
      </x:c>
      <x:c r="F125" s="87" t="s">
        <x:v>368</x:v>
      </x:c>
      <x:c r="G125" s="76" t="s">
        <x:v>511</x:v>
      </x:c>
    </x:row>
    <x:row r="126" ht="16.5" customHeight="1">
      <x:c r="A126" s="65" t="s">
        <x:v>31</x:v>
      </x:c>
      <x:c r="B126" s="82" t="s">
        <x:v>32</x:v>
      </x:c>
      <x:c r="C126" s="46" t="s">
        <x:v>482</x:v>
      </x:c>
      <x:c r="D126" s="65">
        <x:v>90</x:v>
      </x:c>
      <x:c r="E126" s="46" t="s">
        <x:v>476</x:v>
      </x:c>
      <x:c r="F126" s="87" t="s">
        <x:v>368</x:v>
      </x:c>
      <x:c r="G126" s="76" t="s">
        <x:v>511</x:v>
      </x:c>
    </x:row>
    <x:row r="127" ht="16.5" customHeight="1">
      <x:c r="A127" s="65" t="s">
        <x:v>31</x:v>
      </x:c>
      <x:c r="B127" s="82" t="s">
        <x:v>32</x:v>
      </x:c>
      <x:c r="C127" s="46" t="s">
        <x:v>483</x:v>
      </x:c>
      <x:c r="D127" s="65">
        <x:v>90</x:v>
      </x:c>
      <x:c r="E127" s="46" t="s">
        <x:v>476</x:v>
      </x:c>
      <x:c r="F127" s="87" t="s">
        <x:v>368</x:v>
      </x:c>
      <x:c r="G127" s="76" t="s">
        <x:v>511</x:v>
      </x:c>
    </x:row>
    <x:row r="128" ht="16.5" customHeight="1">
      <x:c r="A128" s="65" t="s">
        <x:v>31</x:v>
      </x:c>
      <x:c r="B128" s="82" t="s">
        <x:v>32</x:v>
      </x:c>
      <x:c r="C128" s="46" t="s">
        <x:v>484</x:v>
      </x:c>
      <x:c r="D128" s="65">
        <x:v>90</x:v>
      </x:c>
      <x:c r="E128" s="46" t="s">
        <x:v>476</x:v>
      </x:c>
      <x:c r="F128" s="87" t="s">
        <x:v>368</x:v>
      </x:c>
      <x:c r="G128" s="76" t="s">
        <x:v>511</x:v>
      </x:c>
    </x:row>
    <x:row r="129" ht="16.5" customHeight="1">
      <x:c r="A129" s="65" t="s">
        <x:v>31</x:v>
      </x:c>
      <x:c r="B129" s="82" t="s">
        <x:v>32</x:v>
      </x:c>
      <x:c r="C129" s="46" t="s">
        <x:v>485</x:v>
      </x:c>
      <x:c r="D129" s="65">
        <x:v>90</x:v>
      </x:c>
      <x:c r="E129" s="46" t="s">
        <x:v>476</x:v>
      </x:c>
      <x:c r="F129" s="87" t="s">
        <x:v>368</x:v>
      </x:c>
      <x:c r="G129" s="76" t="s">
        <x:v>511</x:v>
      </x:c>
    </x:row>
    <x:row r="130" ht="16.5" customHeight="1">
      <x:c r="A130" s="65" t="s">
        <x:v>31</x:v>
      </x:c>
      <x:c r="B130" s="82" t="s">
        <x:v>32</x:v>
      </x:c>
      <x:c r="C130" s="46" t="s">
        <x:v>487</x:v>
      </x:c>
      <x:c r="D130" s="65">
        <x:v>90</x:v>
      </x:c>
      <x:c r="E130" s="46" t="s">
        <x:v>476</x:v>
      </x:c>
      <x:c r="F130" s="87" t="s">
        <x:v>368</x:v>
      </x:c>
      <x:c r="G130" s="76" t="s">
        <x:v>511</x:v>
      </x:c>
    </x:row>
    <x:row r="131" ht="16.5" customHeight="1">
      <x:c r="A131" s="65" t="s">
        <x:v>31</x:v>
      </x:c>
      <x:c r="B131" s="82" t="s">
        <x:v>32</x:v>
      </x:c>
      <x:c r="C131" s="46" t="s">
        <x:v>488</x:v>
      </x:c>
      <x:c r="D131" s="65">
        <x:v>90</x:v>
      </x:c>
      <x:c r="E131" s="46" t="s">
        <x:v>476</x:v>
      </x:c>
      <x:c r="F131" s="87" t="s">
        <x:v>368</x:v>
      </x:c>
      <x:c r="G131" s="76" t="s">
        <x:v>511</x:v>
      </x:c>
    </x:row>
    <x:row r="132" ht="16.5" customHeight="1">
      <x:c r="A132" s="65" t="s">
        <x:v>31</x:v>
      </x:c>
      <x:c r="B132" s="82" t="s">
        <x:v>32</x:v>
      </x:c>
      <x:c r="C132" s="46" t="s">
        <x:v>489</x:v>
      </x:c>
      <x:c r="D132" s="65">
        <x:v>90</x:v>
      </x:c>
      <x:c r="E132" s="46" t="s">
        <x:v>476</x:v>
      </x:c>
      <x:c r="F132" s="87" t="s">
        <x:v>368</x:v>
      </x:c>
      <x:c r="G132" s="76" t="s">
        <x:v>511</x:v>
      </x:c>
    </x:row>
    <x:row r="133" ht="16.5" customHeight="1">
      <x:c r="A133" s="65" t="s">
        <x:v>31</x:v>
      </x:c>
      <x:c r="B133" s="82" t="s">
        <x:v>32</x:v>
      </x:c>
      <x:c r="C133" s="46" t="s">
        <x:v>490</x:v>
      </x:c>
      <x:c r="D133" s="65">
        <x:v>90</x:v>
      </x:c>
      <x:c r="E133" s="46" t="s">
        <x:v>476</x:v>
      </x:c>
      <x:c r="F133" s="87" t="s">
        <x:v>368</x:v>
      </x:c>
      <x:c r="G133" s="76" t="s">
        <x:v>511</x:v>
      </x:c>
    </x:row>
    <x:row r="134" ht="16.5" customHeight="1">
      <x:c r="A134" s="65" t="s">
        <x:v>31</x:v>
      </x:c>
      <x:c r="B134" s="82" t="s">
        <x:v>32</x:v>
      </x:c>
      <x:c r="C134" s="46" t="s">
        <x:v>491</x:v>
      </x:c>
      <x:c r="D134" s="65">
        <x:v>90</x:v>
      </x:c>
      <x:c r="E134" s="46" t="s">
        <x:v>476</x:v>
      </x:c>
      <x:c r="F134" s="87" t="s">
        <x:v>368</x:v>
      </x:c>
      <x:c r="G134" s="76" t="s">
        <x:v>511</x:v>
      </x:c>
    </x:row>
    <x:row r="135" ht="16.5" customHeight="1">
      <x:c r="A135" s="65" t="s">
        <x:v>31</x:v>
      </x:c>
      <x:c r="B135" s="82" t="s">
        <x:v>32</x:v>
      </x:c>
      <x:c r="C135" s="46" t="s">
        <x:v>492</x:v>
      </x:c>
      <x:c r="D135" s="65">
        <x:v>90</x:v>
      </x:c>
      <x:c r="E135" s="46" t="s">
        <x:v>476</x:v>
      </x:c>
      <x:c r="F135" s="87" t="s">
        <x:v>368</x:v>
      </x:c>
      <x:c r="G135" s="76" t="s">
        <x:v>511</x:v>
      </x:c>
    </x:row>
    <x:row r="136" ht="16.5" customHeight="1">
      <x:c r="A136" s="65" t="s">
        <x:v>31</x:v>
      </x:c>
      <x:c r="B136" s="82" t="s">
        <x:v>32</x:v>
      </x:c>
      <x:c r="C136" s="46" t="s">
        <x:v>493</x:v>
      </x:c>
      <x:c r="D136" s="65">
        <x:v>90</x:v>
      </x:c>
      <x:c r="E136" s="46" t="s">
        <x:v>476</x:v>
      </x:c>
      <x:c r="F136" s="87" t="s">
        <x:v>368</x:v>
      </x:c>
      <x:c r="G136" s="76" t="s">
        <x:v>511</x:v>
      </x:c>
    </x:row>
    <x:row r="137" ht="66" customHeight="1">
      <x:c r="A137" s="65" t="s">
        <x:v>31</x:v>
      </x:c>
      <x:c r="B137" s="82" t="s">
        <x:v>32</x:v>
      </x:c>
      <x:c r="C137" s="46" t="s">
        <x:v>494</x:v>
      </x:c>
      <x:c r="D137" s="65">
        <x:v>90</x:v>
      </x:c>
      <x:c r="E137" s="46" t="s">
        <x:v>476</x:v>
      </x:c>
      <x:c r="F137" s="87" t="s">
        <x:v>509</x:v>
      </x:c>
      <x:c r="G137" s="76" t="s">
        <x:v>512</x:v>
      </x:c>
    </x:row>
    <x:row r="138" ht="66" customHeight="1">
      <x:c r="A138" s="65" t="s">
        <x:v>31</x:v>
      </x:c>
      <x:c r="B138" s="82" t="s">
        <x:v>32</x:v>
      </x:c>
      <x:c r="C138" s="46" t="s">
        <x:v>495</x:v>
      </x:c>
      <x:c r="D138" s="65">
        <x:v>90</x:v>
      </x:c>
      <x:c r="E138" s="46" t="s">
        <x:v>476</x:v>
      </x:c>
      <x:c r="F138" s="87" t="s">
        <x:v>509</x:v>
      </x:c>
      <x:c r="G138" s="76" t="s">
        <x:v>512</x:v>
      </x:c>
    </x:row>
    <x:row r="139" ht="66" customHeight="1">
      <x:c r="A139" s="65" t="s">
        <x:v>31</x:v>
      </x:c>
      <x:c r="B139" s="82" t="s">
        <x:v>32</x:v>
      </x:c>
      <x:c r="C139" s="46" t="s">
        <x:v>496</x:v>
      </x:c>
      <x:c r="D139" s="65">
        <x:v>90</x:v>
      </x:c>
      <x:c r="E139" s="46" t="s">
        <x:v>476</x:v>
      </x:c>
      <x:c r="F139" s="87" t="s">
        <x:v>509</x:v>
      </x:c>
      <x:c r="G139" s="76" t="s">
        <x:v>512</x:v>
      </x:c>
    </x:row>
    <x:row r="140" ht="16.5" customHeight="1">
      <x:c r="A140" s="65" t="s">
        <x:v>28</x:v>
      </x:c>
      <x:c r="B140" s="82" t="s">
        <x:v>29</x:v>
      </x:c>
      <x:c r="C140" s="46" t="s">
        <x:v>475</x:v>
      </x:c>
      <x:c r="D140" s="65">
        <x:v>90</x:v>
      </x:c>
      <x:c r="E140" s="46" t="s">
        <x:v>476</x:v>
      </x:c>
    </x:row>
    <x:row r="141" ht="16.5" customHeight="1">
      <x:c r="A141" s="65" t="s">
        <x:v>28</x:v>
      </x:c>
      <x:c r="B141" s="82" t="s">
        <x:v>29</x:v>
      </x:c>
      <x:c r="C141" s="46" t="s">
        <x:v>478</x:v>
      </x:c>
      <x:c r="D141" s="65">
        <x:v>90</x:v>
      </x:c>
      <x:c r="E141" s="46" t="s">
        <x:v>476</x:v>
      </x:c>
    </x:row>
    <x:row r="142" ht="16.5" customHeight="1">
      <x:c r="A142" s="65" t="s">
        <x:v>28</x:v>
      </x:c>
      <x:c r="B142" s="82" t="s">
        <x:v>29</x:v>
      </x:c>
      <x:c r="C142" s="46" t="s">
        <x:v>479</x:v>
      </x:c>
      <x:c r="D142" s="65">
        <x:v>90</x:v>
      </x:c>
      <x:c r="E142" s="46" t="s">
        <x:v>476</x:v>
      </x:c>
    </x:row>
    <x:row r="143" ht="16.5" customHeight="1">
      <x:c r="A143" s="65" t="s">
        <x:v>28</x:v>
      </x:c>
      <x:c r="B143" s="82" t="s">
        <x:v>29</x:v>
      </x:c>
      <x:c r="C143" s="46" t="s">
        <x:v>480</x:v>
      </x:c>
      <x:c r="D143" s="65">
        <x:v>90</x:v>
      </x:c>
      <x:c r="E143" s="46" t="s">
        <x:v>476</x:v>
      </x:c>
    </x:row>
    <x:row r="144" ht="16.5" customHeight="1">
      <x:c r="A144" s="65" t="s">
        <x:v>28</x:v>
      </x:c>
      <x:c r="B144" s="82" t="s">
        <x:v>29</x:v>
      </x:c>
      <x:c r="C144" s="46" t="s">
        <x:v>481</x:v>
      </x:c>
      <x:c r="D144" s="65">
        <x:v>90</x:v>
      </x:c>
      <x:c r="E144" s="46" t="s">
        <x:v>476</x:v>
      </x:c>
    </x:row>
    <x:row r="145" ht="16.5" customHeight="1">
      <x:c r="A145" s="65" t="s">
        <x:v>28</x:v>
      </x:c>
      <x:c r="B145" s="82" t="s">
        <x:v>29</x:v>
      </x:c>
      <x:c r="C145" s="46" t="s">
        <x:v>482</x:v>
      </x:c>
      <x:c r="D145" s="65">
        <x:v>90</x:v>
      </x:c>
      <x:c r="E145" s="46" t="s">
        <x:v>476</x:v>
      </x:c>
    </x:row>
    <x:row r="146" ht="16.5" customHeight="1">
      <x:c r="A146" s="65" t="s">
        <x:v>28</x:v>
      </x:c>
      <x:c r="B146" s="82" t="s">
        <x:v>29</x:v>
      </x:c>
      <x:c r="C146" s="46" t="s">
        <x:v>483</x:v>
      </x:c>
      <x:c r="D146" s="65">
        <x:v>90</x:v>
      </x:c>
      <x:c r="E146" s="46" t="s">
        <x:v>476</x:v>
      </x:c>
    </x:row>
    <x:row r="147" ht="16.5" customHeight="1">
      <x:c r="A147" s="65" t="s">
        <x:v>28</x:v>
      </x:c>
      <x:c r="B147" s="82" t="s">
        <x:v>29</x:v>
      </x:c>
      <x:c r="C147" s="46" t="s">
        <x:v>484</x:v>
      </x:c>
      <x:c r="D147" s="65">
        <x:v>90</x:v>
      </x:c>
      <x:c r="E147" s="46" t="s">
        <x:v>476</x:v>
      </x:c>
    </x:row>
    <x:row r="148" ht="16.5" customHeight="1">
      <x:c r="A148" s="65" t="s">
        <x:v>28</x:v>
      </x:c>
      <x:c r="B148" s="82" t="s">
        <x:v>29</x:v>
      </x:c>
      <x:c r="C148" s="46" t="s">
        <x:v>485</x:v>
      </x:c>
      <x:c r="D148" s="65">
        <x:v>90</x:v>
      </x:c>
      <x:c r="E148" s="46" t="s">
        <x:v>476</x:v>
      </x:c>
    </x:row>
    <x:row r="149" ht="16.5" customHeight="1">
      <x:c r="A149" s="65" t="s">
        <x:v>28</x:v>
      </x:c>
      <x:c r="B149" s="82" t="s">
        <x:v>29</x:v>
      </x:c>
      <x:c r="C149" s="46" t="s">
        <x:v>487</x:v>
      </x:c>
      <x:c r="D149" s="65">
        <x:v>90</x:v>
      </x:c>
      <x:c r="E149" s="46" t="s">
        <x:v>476</x:v>
      </x:c>
    </x:row>
    <x:row r="150" ht="16.5" customHeight="1">
      <x:c r="A150" s="65" t="s">
        <x:v>28</x:v>
      </x:c>
      <x:c r="B150" s="82" t="s">
        <x:v>29</x:v>
      </x:c>
      <x:c r="C150" s="46" t="s">
        <x:v>488</x:v>
      </x:c>
      <x:c r="D150" s="65">
        <x:v>90</x:v>
      </x:c>
      <x:c r="E150" s="46" t="s">
        <x:v>476</x:v>
      </x:c>
    </x:row>
    <x:row r="151" ht="16.5" customHeight="1">
      <x:c r="A151" s="65" t="s">
        <x:v>28</x:v>
      </x:c>
      <x:c r="B151" s="82" t="s">
        <x:v>29</x:v>
      </x:c>
      <x:c r="C151" s="46" t="s">
        <x:v>489</x:v>
      </x:c>
      <x:c r="D151" s="65">
        <x:v>90</x:v>
      </x:c>
      <x:c r="E151" s="46" t="s">
        <x:v>476</x:v>
      </x:c>
    </x:row>
    <x:row r="152" ht="16.5" customHeight="1">
      <x:c r="A152" s="65" t="s">
        <x:v>28</x:v>
      </x:c>
      <x:c r="B152" s="82" t="s">
        <x:v>29</x:v>
      </x:c>
      <x:c r="C152" s="46" t="s">
        <x:v>490</x:v>
      </x:c>
      <x:c r="D152" s="65">
        <x:v>90</x:v>
      </x:c>
      <x:c r="E152" s="46" t="s">
        <x:v>476</x:v>
      </x:c>
    </x:row>
    <x:row r="153" ht="16.5" customHeight="1">
      <x:c r="A153" s="65" t="s">
        <x:v>28</x:v>
      </x:c>
      <x:c r="B153" s="82" t="s">
        <x:v>29</x:v>
      </x:c>
      <x:c r="C153" s="46" t="s">
        <x:v>491</x:v>
      </x:c>
      <x:c r="D153" s="65">
        <x:v>90</x:v>
      </x:c>
      <x:c r="E153" s="46" t="s">
        <x:v>476</x:v>
      </x:c>
    </x:row>
    <x:row r="154" ht="16.5" customHeight="1">
      <x:c r="A154" s="65" t="s">
        <x:v>28</x:v>
      </x:c>
      <x:c r="B154" s="82" t="s">
        <x:v>29</x:v>
      </x:c>
      <x:c r="C154" s="46" t="s">
        <x:v>492</x:v>
      </x:c>
      <x:c r="D154" s="65">
        <x:v>90</x:v>
      </x:c>
      <x:c r="E154" s="46" t="s">
        <x:v>476</x:v>
      </x:c>
    </x:row>
    <x:row r="155" ht="16.5" customHeight="1">
      <x:c r="A155" s="65" t="s">
        <x:v>28</x:v>
      </x:c>
      <x:c r="B155" s="82" t="s">
        <x:v>29</x:v>
      </x:c>
      <x:c r="C155" s="46" t="s">
        <x:v>493</x:v>
      </x:c>
      <x:c r="D155" s="65">
        <x:v>90</x:v>
      </x:c>
      <x:c r="E155" s="46" t="s">
        <x:v>476</x:v>
      </x:c>
    </x:row>
    <x:row r="156" ht="16.5" customHeight="1">
      <x:c r="A156" s="65" t="s">
        <x:v>28</x:v>
      </x:c>
      <x:c r="B156" s="82" t="s">
        <x:v>29</x:v>
      </x:c>
      <x:c r="C156" s="46" t="s">
        <x:v>494</x:v>
      </x:c>
      <x:c r="D156" s="65">
        <x:v>90</x:v>
      </x:c>
      <x:c r="E156" s="46" t="s">
        <x:v>476</x:v>
      </x:c>
    </x:row>
    <x:row r="157" ht="16.5" customHeight="1">
      <x:c r="A157" s="65" t="s">
        <x:v>28</x:v>
      </x:c>
      <x:c r="B157" s="82" t="s">
        <x:v>29</x:v>
      </x:c>
      <x:c r="C157" s="46" t="s">
        <x:v>495</x:v>
      </x:c>
      <x:c r="D157" s="65">
        <x:v>90</x:v>
      </x:c>
      <x:c r="E157" s="46" t="s">
        <x:v>476</x:v>
      </x:c>
    </x:row>
    <x:row r="158" ht="16.5" customHeight="1">
      <x:c r="A158" s="65" t="s">
        <x:v>28</x:v>
      </x:c>
      <x:c r="B158" s="82" t="s">
        <x:v>29</x:v>
      </x:c>
      <x:c r="C158" s="46" t="s">
        <x:v>496</x:v>
      </x:c>
      <x:c r="D158" s="65">
        <x:v>90</x:v>
      </x:c>
      <x:c r="E158" s="46" t="s">
        <x:v>476</x:v>
      </x:c>
    </x:row>
    <x:row r="159" ht="16.5" customHeight="1">
      <x:c r="A159" s="65" t="s">
        <x:v>19</x:v>
      </x:c>
      <x:c r="B159" s="82" t="s">
        <x:v>33</x:v>
      </x:c>
      <x:c r="C159" s="46" t="s">
        <x:v>475</x:v>
      </x:c>
      <x:c r="D159" s="65">
        <x:v>90</x:v>
      </x:c>
      <x:c r="E159" s="46" t="s">
        <x:v>476</x:v>
      </x:c>
    </x:row>
    <x:row r="160" ht="16.5" customHeight="1">
      <x:c r="A160" s="65" t="s">
        <x:v>19</x:v>
      </x:c>
      <x:c r="B160" s="82" t="s">
        <x:v>33</x:v>
      </x:c>
      <x:c r="C160" s="46" t="s">
        <x:v>478</x:v>
      </x:c>
      <x:c r="D160" s="65">
        <x:v>90</x:v>
      </x:c>
      <x:c r="E160" s="46" t="s">
        <x:v>476</x:v>
      </x:c>
    </x:row>
    <x:row r="161" ht="16.5" customHeight="1">
      <x:c r="A161" s="65" t="s">
        <x:v>19</x:v>
      </x:c>
      <x:c r="B161" s="82" t="s">
        <x:v>33</x:v>
      </x:c>
      <x:c r="C161" s="46" t="s">
        <x:v>479</x:v>
      </x:c>
      <x:c r="D161" s="65">
        <x:v>90</x:v>
      </x:c>
      <x:c r="E161" s="46" t="s">
        <x:v>476</x:v>
      </x:c>
    </x:row>
    <x:row r="162" ht="16.5" customHeight="1">
      <x:c r="A162" s="65" t="s">
        <x:v>19</x:v>
      </x:c>
      <x:c r="B162" s="82" t="s">
        <x:v>33</x:v>
      </x:c>
      <x:c r="C162" s="46" t="s">
        <x:v>480</x:v>
      </x:c>
      <x:c r="D162" s="65">
        <x:v>90</x:v>
      </x:c>
      <x:c r="E162" s="46" t="s">
        <x:v>476</x:v>
      </x:c>
    </x:row>
    <x:row r="163" ht="16.5" customHeight="1">
      <x:c r="A163" s="65" t="s">
        <x:v>19</x:v>
      </x:c>
      <x:c r="B163" s="82" t="s">
        <x:v>33</x:v>
      </x:c>
      <x:c r="C163" s="46" t="s">
        <x:v>481</x:v>
      </x:c>
      <x:c r="D163" s="65">
        <x:v>90</x:v>
      </x:c>
      <x:c r="E163" s="46" t="s">
        <x:v>476</x:v>
      </x:c>
    </x:row>
    <x:row r="164" ht="16.5" customHeight="1">
      <x:c r="A164" s="65" t="s">
        <x:v>19</x:v>
      </x:c>
      <x:c r="B164" s="82" t="s">
        <x:v>33</x:v>
      </x:c>
      <x:c r="C164" s="46" t="s">
        <x:v>482</x:v>
      </x:c>
      <x:c r="D164" s="65">
        <x:v>90</x:v>
      </x:c>
      <x:c r="E164" s="46" t="s">
        <x:v>476</x:v>
      </x:c>
    </x:row>
    <x:row r="165" ht="16.5" customHeight="1">
      <x:c r="A165" s="65" t="s">
        <x:v>19</x:v>
      </x:c>
      <x:c r="B165" s="82" t="s">
        <x:v>33</x:v>
      </x:c>
      <x:c r="C165" s="46" t="s">
        <x:v>483</x:v>
      </x:c>
      <x:c r="D165" s="65">
        <x:v>90</x:v>
      </x:c>
      <x:c r="E165" s="46" t="s">
        <x:v>476</x:v>
      </x:c>
    </x:row>
    <x:row r="166" ht="16.5" customHeight="1">
      <x:c r="A166" s="65" t="s">
        <x:v>19</x:v>
      </x:c>
      <x:c r="B166" s="82" t="s">
        <x:v>33</x:v>
      </x:c>
      <x:c r="C166" s="46" t="s">
        <x:v>484</x:v>
      </x:c>
      <x:c r="D166" s="65">
        <x:v>90</x:v>
      </x:c>
      <x:c r="E166" s="46" t="s">
        <x:v>476</x:v>
      </x:c>
    </x:row>
    <x:row r="167" ht="16.5" customHeight="1">
      <x:c r="A167" s="65" t="s">
        <x:v>19</x:v>
      </x:c>
      <x:c r="B167" s="82" t="s">
        <x:v>33</x:v>
      </x:c>
      <x:c r="C167" s="46" t="s">
        <x:v>485</x:v>
      </x:c>
      <x:c r="D167" s="65">
        <x:v>90</x:v>
      </x:c>
      <x:c r="E167" s="46" t="s">
        <x:v>476</x:v>
      </x:c>
    </x:row>
    <x:row r="168" ht="16.5" customHeight="1">
      <x:c r="A168" s="65" t="s">
        <x:v>19</x:v>
      </x:c>
      <x:c r="B168" s="82" t="s">
        <x:v>33</x:v>
      </x:c>
      <x:c r="C168" s="46" t="s">
        <x:v>487</x:v>
      </x:c>
      <x:c r="D168" s="65">
        <x:v>90</x:v>
      </x:c>
      <x:c r="E168" s="46" t="s">
        <x:v>476</x:v>
      </x:c>
    </x:row>
    <x:row r="169" ht="16.5" customHeight="1">
      <x:c r="A169" s="65" t="s">
        <x:v>19</x:v>
      </x:c>
      <x:c r="B169" s="82" t="s">
        <x:v>33</x:v>
      </x:c>
      <x:c r="C169" s="46" t="s">
        <x:v>488</x:v>
      </x:c>
      <x:c r="D169" s="65">
        <x:v>90</x:v>
      </x:c>
      <x:c r="E169" s="46" t="s">
        <x:v>476</x:v>
      </x:c>
    </x:row>
    <x:row r="170" ht="16.5" customHeight="1">
      <x:c r="A170" s="65" t="s">
        <x:v>19</x:v>
      </x:c>
      <x:c r="B170" s="82" t="s">
        <x:v>33</x:v>
      </x:c>
      <x:c r="C170" s="46" t="s">
        <x:v>489</x:v>
      </x:c>
      <x:c r="D170" s="65">
        <x:v>90</x:v>
      </x:c>
      <x:c r="E170" s="46" t="s">
        <x:v>476</x:v>
      </x:c>
    </x:row>
    <x:row r="171" ht="16.5" customHeight="1">
      <x:c r="A171" s="65" t="s">
        <x:v>19</x:v>
      </x:c>
      <x:c r="B171" s="82" t="s">
        <x:v>33</x:v>
      </x:c>
      <x:c r="C171" s="46" t="s">
        <x:v>490</x:v>
      </x:c>
      <x:c r="D171" s="65">
        <x:v>90</x:v>
      </x:c>
      <x:c r="E171" s="46" t="s">
        <x:v>476</x:v>
      </x:c>
    </x:row>
    <x:row r="172" ht="16.5" customHeight="1">
      <x:c r="A172" s="65" t="s">
        <x:v>19</x:v>
      </x:c>
      <x:c r="B172" s="82" t="s">
        <x:v>33</x:v>
      </x:c>
      <x:c r="C172" s="46" t="s">
        <x:v>491</x:v>
      </x:c>
      <x:c r="D172" s="65">
        <x:v>90</x:v>
      </x:c>
      <x:c r="E172" s="46" t="s">
        <x:v>476</x:v>
      </x:c>
    </x:row>
    <x:row r="173" ht="16.5" customHeight="1">
      <x:c r="A173" s="65" t="s">
        <x:v>19</x:v>
      </x:c>
      <x:c r="B173" s="82" t="s">
        <x:v>33</x:v>
      </x:c>
      <x:c r="C173" s="46" t="s">
        <x:v>492</x:v>
      </x:c>
      <x:c r="D173" s="65">
        <x:v>90</x:v>
      </x:c>
      <x:c r="E173" s="46" t="s">
        <x:v>476</x:v>
      </x:c>
    </x:row>
    <x:row r="174" ht="16.5" customHeight="1">
      <x:c r="A174" s="65" t="s">
        <x:v>19</x:v>
      </x:c>
      <x:c r="B174" s="82" t="s">
        <x:v>33</x:v>
      </x:c>
      <x:c r="C174" s="46" t="s">
        <x:v>493</x:v>
      </x:c>
      <x:c r="D174" s="65">
        <x:v>90</x:v>
      </x:c>
      <x:c r="E174" s="46" t="s">
        <x:v>476</x:v>
      </x:c>
    </x:row>
    <x:row r="175" ht="16.5" customHeight="1">
      <x:c r="A175" s="65" t="s">
        <x:v>19</x:v>
      </x:c>
      <x:c r="B175" s="82" t="s">
        <x:v>33</x:v>
      </x:c>
      <x:c r="C175" s="46" t="s">
        <x:v>494</x:v>
      </x:c>
      <x:c r="D175" s="65">
        <x:v>90</x:v>
      </x:c>
      <x:c r="E175" s="46" t="s">
        <x:v>476</x:v>
      </x:c>
    </x:row>
    <x:row r="176" ht="16.5" customHeight="1">
      <x:c r="A176" s="65" t="s">
        <x:v>19</x:v>
      </x:c>
      <x:c r="B176" s="82" t="s">
        <x:v>33</x:v>
      </x:c>
      <x:c r="C176" s="46" t="s">
        <x:v>495</x:v>
      </x:c>
      <x:c r="D176" s="65">
        <x:v>90</x:v>
      </x:c>
      <x:c r="E176" s="46" t="s">
        <x:v>476</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3.5"/>
  <x:cols>
    <x:col min="1" max="1" width="14" customWidth="1"/>
    <x:col min="2" max="2" width="22" customWidth="1"/>
    <x:col min="3" max="3" width="20" customWidth="1"/>
    <x:col min="4" max="8" width="11" customWidth="1"/>
    <x:col min="9" max="9" width="30" customWidth="1"/>
    <x:col min="10" max="10" width="22" hidden="0" customWidth="1"/>
    <x:col min="11" max="11" width="22" hidden="0" customWidth="1"/>
  </x:cols>
  <x:sheetData>
    <x:row r="1" ht="32.099998474121094" customHeight="1">
      <x:c r="A1" s="69" t="s">
        <x:v>3</x:v>
      </x:c>
      <x:c r="B1" s="69" t="s">
        <x:v>4</x:v>
      </x:c>
      <x:c r="C1" s="69" t="s">
        <x:v>513</x:v>
      </x:c>
      <x:c r="D1" s="69" t="s">
        <x:v>514</x:v>
      </x:c>
      <x:c r="E1" s="69" t="s">
        <x:v>515</x:v>
      </x:c>
      <x:c r="F1" s="69" t="s">
        <x:v>516</x:v>
      </x:c>
      <x:c r="G1" s="69" t="s">
        <x:v>517</x:v>
      </x:c>
      <x:c r="H1" s="69" t="s">
        <x:v>518</x:v>
      </x:c>
      <x:c r="I1" s="69" t="s">
        <x:v>209</x:v>
      </x:c>
      <x:c r="J1" t="str">
        <x:v>手配不可品管理対象外</x:v>
      </x:c>
      <x:c r="K1" t="str">
        <x:v>補充除外キーワード</x:v>
      </x:c>
    </x:row>
    <x:row r="2" ht="24" customHeight="1">
      <x:c r="A2" s="70" t="s">
        <x:v>8</x:v>
      </x:c>
      <x:c r="B2" s="88" t="s">
        <x:v>9</x:v>
      </x:c>
      <x:c r="C2" s="71" t="s">
        <x:v>519</x:v>
      </x:c>
      <x:c r="D2" s="70" t="s">
        <x:v>10</x:v>
      </x:c>
      <x:c r="E2" s="70" t="s">
        <x:v>10</x:v>
      </x:c>
      <x:c r="F2" s="89" t="s">
        <x:v>10</x:v>
      </x:c>
      <x:c r="G2" s="90" t="s">
        <x:v>10</x:v>
      </x:c>
      <x:c r="H2" s="90" t="s">
        <x:v>10</x:v>
      </x:c>
      <x:c r="I2" s="88" t="s">
        <x:v>520</x:v>
      </x:c>
      <x:c r="J2" t="str">
        <x:v>無</x:v>
      </x:c>
      <x:c r="K2"/>
    </x:row>
    <x:row r="3" ht="24" customHeight="1">
      <x:c r="A3" s="70" t="s">
        <x:v>13</x:v>
      </x:c>
      <x:c r="B3" s="88" t="s">
        <x:v>14</x:v>
      </x:c>
      <x:c r="C3" s="71" t="s">
        <x:v>521</x:v>
      </x:c>
      <x:c r="D3" s="70" t="s">
        <x:v>10</x:v>
      </x:c>
      <x:c r="E3" s="70" t="s">
        <x:v>10</x:v>
      </x:c>
      <x:c r="F3" s="89" t="s">
        <x:v>10</x:v>
      </x:c>
      <x:c r="G3" s="90" t="s">
        <x:v>10</x:v>
      </x:c>
      <x:c r="H3" s="90" t="s">
        <x:v>10</x:v>
      </x:c>
      <x:c r="I3" s="88" t="s">
        <x:v>522</x:v>
      </x:c>
      <x:c r="J3" t="str">
        <x:v>無</x:v>
      </x:c>
      <x:c r="K3"/>
    </x:row>
    <x:row r="4" ht="24" customHeight="1">
      <x:c r="A4" s="70" t="s">
        <x:v>16</x:v>
      </x:c>
      <x:c r="B4" s="88" t="s">
        <x:v>17</x:v>
      </x:c>
      <x:c r="C4" s="71" t="s">
        <x:v>523</x:v>
      </x:c>
      <x:c r="D4" s="70" t="s">
        <x:v>10</x:v>
      </x:c>
      <x:c r="E4" s="70" t="s">
        <x:v>10</x:v>
      </x:c>
      <x:c r="F4" s="89" t="s">
        <x:v>10</x:v>
      </x:c>
      <x:c r="G4" s="90" t="s">
        <x:v>141</x:v>
      </x:c>
      <x:c r="H4" s="90" t="s">
        <x:v>10</x:v>
      </x:c>
      <x:c r="I4" s="88" t="s">
        <x:v>524</x:v>
      </x:c>
      <x:c r="J4" t="str">
        <x:v>無</x:v>
      </x:c>
      <x:c r="K4"/>
    </x:row>
    <x:row r="5" ht="24" customHeight="1">
      <x:c r="A5" s="70" t="s">
        <x:v>19</x:v>
      </x:c>
      <x:c r="B5" s="88" t="s">
        <x:v>20</x:v>
      </x:c>
      <x:c r="C5" s="71" t="s">
        <x:v>525</x:v>
      </x:c>
      <x:c r="D5" s="70" t="s">
        <x:v>10</x:v>
      </x:c>
      <x:c r="E5" s="70" t="s">
        <x:v>10</x:v>
      </x:c>
      <x:c r="F5" s="89" t="s">
        <x:v>10</x:v>
      </x:c>
      <x:c r="G5" s="90" t="s">
        <x:v>10</x:v>
      </x:c>
      <x:c r="H5" s="90" t="s">
        <x:v>10</x:v>
      </x:c>
      <x:c r="I5" s="88" t="s">
        <x:v>526</x:v>
      </x:c>
      <x:c r="J5" t="str">
        <x:v>有</x:v>
      </x:c>
      <x:c r="K5" t="str">
        <x:v>手配不可</x:v>
      </x:c>
    </x:row>
    <x:row r="6" ht="24" customHeight="1">
      <x:c r="A6" s="70" t="s">
        <x:v>22</x:v>
      </x:c>
      <x:c r="B6" s="88" t="s">
        <x:v>23</x:v>
      </x:c>
      <x:c r="C6" s="71" t="s">
        <x:v>527</x:v>
      </x:c>
      <x:c r="D6" s="70" t="s">
        <x:v>10</x:v>
      </x:c>
      <x:c r="E6" s="70" t="s">
        <x:v>10</x:v>
      </x:c>
      <x:c r="F6" s="89" t="s">
        <x:v>10</x:v>
      </x:c>
      <x:c r="G6" s="90" t="s">
        <x:v>10</x:v>
      </x:c>
      <x:c r="H6" s="90" t="s">
        <x:v>10</x:v>
      </x:c>
      <x:c r="I6" s="88" t="s">
        <x:v>528</x:v>
      </x:c>
      <x:c r="J6" t="str">
        <x:v>無</x:v>
      </x:c>
      <x:c r="K6"/>
    </x:row>
    <x:row r="7" ht="24" customHeight="1">
      <x:c r="A7" s="70" t="s">
        <x:v>25</x:v>
      </x:c>
      <x:c r="B7" s="88" t="s">
        <x:v>26</x:v>
      </x:c>
      <x:c r="C7" s="71" t="s">
        <x:v>529</x:v>
      </x:c>
      <x:c r="D7" s="70" t="s">
        <x:v>10</x:v>
      </x:c>
      <x:c r="E7" s="70" t="s">
        <x:v>10</x:v>
      </x:c>
      <x:c r="F7" s="89" t="s">
        <x:v>10</x:v>
      </x:c>
      <x:c r="G7" s="90" t="s">
        <x:v>10</x:v>
      </x:c>
      <x:c r="H7" s="90" t="s">
        <x:v>10</x:v>
      </x:c>
      <x:c r="I7" s="88" t="s">
        <x:v>530</x:v>
      </x:c>
      <x:c r="J7" t="str">
        <x:v>無</x:v>
      </x:c>
      <x:c r="K7"/>
    </x:row>
    <x:row r="8" ht="24" customHeight="1">
      <x:c r="A8" s="70" t="s">
        <x:v>28</x:v>
      </x:c>
      <x:c r="B8" s="88" t="s">
        <x:v>29</x:v>
      </x:c>
      <x:c r="C8" s="71" t="s">
        <x:v>531</x:v>
      </x:c>
      <x:c r="D8" s="70" t="s">
        <x:v>10</x:v>
      </x:c>
      <x:c r="E8" s="70" t="s">
        <x:v>10</x:v>
      </x:c>
      <x:c r="F8" s="89" t="s">
        <x:v>10</x:v>
      </x:c>
      <x:c r="G8" s="90" t="s">
        <x:v>10</x:v>
      </x:c>
      <x:c r="H8" s="90" t="s">
        <x:v>10</x:v>
      </x:c>
      <x:c r="I8" s="88" t="s">
        <x:v>532</x:v>
      </x:c>
      <x:c r="J8" t="str">
        <x:v>無</x:v>
      </x:c>
      <x:c r="K8"/>
    </x:row>
    <x:row r="9" ht="24" customHeight="1">
      <x:c r="A9" s="70" t="s">
        <x:v>31</x:v>
      </x:c>
      <x:c r="B9" s="88" t="s">
        <x:v>32</x:v>
      </x:c>
      <x:c r="C9" s="71" t="s">
        <x:v>533</x:v>
      </x:c>
      <x:c r="D9" s="70" t="s">
        <x:v>10</x:v>
      </x:c>
      <x:c r="E9" s="70" t="s">
        <x:v>10</x:v>
      </x:c>
      <x:c r="F9" s="89" t="s">
        <x:v>10</x:v>
      </x:c>
      <x:c r="G9" s="90" t="s">
        <x:v>10</x:v>
      </x:c>
      <x:c r="H9" s="90" t="s">
        <x:v>10</x:v>
      </x:c>
      <x:c r="I9" s="88" t="s">
        <x:v>534</x:v>
      </x:c>
      <x:c r="J9" t="str">
        <x:v>無</x:v>
      </x:c>
      <x:c r="K9"/>
    </x:row>
    <x:row r="10" ht="24" customHeight="1">
      <x:c r="A10" s="70" t="s">
        <x:v>19</x:v>
      </x:c>
      <x:c r="B10" s="88" t="s">
        <x:v>33</x:v>
      </x:c>
      <x:c r="C10" s="71"/>
      <x:c r="D10" s="70" t="s">
        <x:v>141</x:v>
      </x:c>
      <x:c r="E10" s="70" t="s">
        <x:v>141</x:v>
      </x:c>
      <x:c r="F10" s="89" t="s">
        <x:v>141</x:v>
      </x:c>
      <x:c r="G10" s="90" t="s">
        <x:v>141</x:v>
      </x:c>
      <x:c r="H10" s="90" t="s">
        <x:v>141</x:v>
      </x:c>
      <x:c r="I10" s="88" t="s">
        <x:v>535</x:v>
      </x:c>
      <x:c r="J10" t="str">
        <x:v>有</x:v>
      </x:c>
      <x:c r="K10" t="str">
        <x:v>手配不可</x:v>
      </x:c>
    </x:row>
  </x:sheetData>
  <x:dataValidations count="1">
    <x:dataValidation type="list" sqref="J2:J10">
      <x:formula1>"有,無"</x:formula1>
    </x:dataValidation>
  </x:dataValidations>
  <x:pageMargins left="0.7" right="0.7" top="0.75" bottom="0.75" header="0.3" footer="0.3"/>
</x:worksheet>
</file>