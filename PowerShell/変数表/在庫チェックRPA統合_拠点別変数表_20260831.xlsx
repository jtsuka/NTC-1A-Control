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HPDB\"/>
    </mc:Choice>
  </mc:AlternateContent>
  <xr:revisionPtr revIDLastSave="0" documentId="13_ncr:1_{59B19587-F4B9-463A-AC8D-8F678CF97BEE}" xr6:coauthVersionLast="47" xr6:coauthVersionMax="47" xr10:uidLastSave="{00000000-0000-0000-0000-000000000000}"/>
  <bookViews>
    <workbookView xWindow="-120" yWindow="-120" windowWidth="29040" windowHeight="15720" activeTab="1" xr2:uid="{00000000-000D-0000-FFFF-FFFF00000000}"/>
  </bookViews>
  <sheets>
    <sheet name="サマリー" sheetId="1" r:id="rId1"/>
    <sheet name="拠点別設定値" sheetId="2" r:id="rId2"/>
    <sheet name="列加工定義" sheetId="3" r:id="rId3"/>
    <sheet name="変数定義一覧" sheetId="4" r:id="rId4"/>
    <sheet name="要確認事項" sheetId="5" r:id="rId5"/>
    <sheet name="発注点リセット_部署別設定"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 l="1"/>
  <c r="I41" i="3"/>
  <c r="H41" i="3"/>
  <c r="F41" i="3"/>
  <c r="D41" i="3"/>
  <c r="A41" i="3"/>
  <c r="L40" i="3"/>
  <c r="I40" i="3"/>
  <c r="H40" i="3"/>
  <c r="F40" i="3"/>
  <c r="D40" i="3"/>
  <c r="A40" i="3"/>
  <c r="L39" i="3"/>
  <c r="I39" i="3"/>
  <c r="H39" i="3"/>
  <c r="F39" i="3"/>
  <c r="D39" i="3"/>
  <c r="A39" i="3"/>
  <c r="L38" i="3"/>
  <c r="I38" i="3"/>
  <c r="H38" i="3"/>
  <c r="F38" i="3"/>
  <c r="D38" i="3"/>
  <c r="A38" i="3"/>
  <c r="L37" i="3"/>
  <c r="I37" i="3"/>
  <c r="H37" i="3"/>
  <c r="F37" i="3"/>
  <c r="D37" i="3"/>
  <c r="A37" i="3"/>
  <c r="L36" i="3"/>
  <c r="I36" i="3"/>
  <c r="H36" i="3"/>
  <c r="F36" i="3"/>
  <c r="D36" i="3"/>
  <c r="A36" i="3"/>
  <c r="L35" i="3"/>
  <c r="I35" i="3"/>
  <c r="H35" i="3"/>
  <c r="F35" i="3"/>
  <c r="D35" i="3"/>
  <c r="A35" i="3"/>
  <c r="L34" i="3"/>
  <c r="I34" i="3"/>
  <c r="H34" i="3"/>
  <c r="F34" i="3"/>
  <c r="D34" i="3"/>
  <c r="A34" i="3"/>
  <c r="L33" i="3"/>
  <c r="I33" i="3"/>
  <c r="H33" i="3"/>
  <c r="F33" i="3"/>
  <c r="D33" i="3"/>
  <c r="A33" i="3"/>
  <c r="L32" i="3"/>
  <c r="I32" i="3"/>
  <c r="H32" i="3"/>
  <c r="F32" i="3"/>
  <c r="D32" i="3"/>
  <c r="A32" i="3"/>
  <c r="L31" i="3"/>
  <c r="I31" i="3"/>
  <c r="H31" i="3"/>
  <c r="F31" i="3"/>
  <c r="D31" i="3"/>
  <c r="A31" i="3"/>
  <c r="L30" i="3"/>
  <c r="I30" i="3"/>
  <c r="H30" i="3"/>
  <c r="F30" i="3"/>
  <c r="D30" i="3"/>
  <c r="A30" i="3"/>
  <c r="L29" i="3"/>
  <c r="I29" i="3"/>
  <c r="H29" i="3"/>
  <c r="F29" i="3"/>
  <c r="D29" i="3"/>
  <c r="A29" i="3"/>
  <c r="L28" i="3"/>
  <c r="I28" i="3"/>
  <c r="H28" i="3"/>
  <c r="F28" i="3"/>
  <c r="D28" i="3"/>
  <c r="A28" i="3"/>
  <c r="L27" i="3"/>
  <c r="I27" i="3"/>
  <c r="H27" i="3"/>
  <c r="F27" i="3"/>
  <c r="D27" i="3"/>
  <c r="A27" i="3"/>
  <c r="L26" i="3"/>
  <c r="I26" i="3"/>
  <c r="H26" i="3"/>
  <c r="F26" i="3"/>
  <c r="D26" i="3"/>
  <c r="A26" i="3"/>
  <c r="L25" i="3"/>
  <c r="I25" i="3"/>
  <c r="H25" i="3"/>
  <c r="F25" i="3"/>
  <c r="D25" i="3"/>
  <c r="A25" i="3"/>
  <c r="L24" i="3"/>
  <c r="I24" i="3"/>
  <c r="H24" i="3"/>
  <c r="F24" i="3"/>
  <c r="D24" i="3"/>
  <c r="A24" i="3"/>
  <c r="L23" i="3"/>
  <c r="I23" i="3"/>
  <c r="H23" i="3"/>
  <c r="F23" i="3"/>
  <c r="D23" i="3"/>
  <c r="A23" i="3"/>
  <c r="L22" i="3"/>
  <c r="I22" i="3"/>
  <c r="H22" i="3"/>
  <c r="F22" i="3"/>
  <c r="D22" i="3"/>
  <c r="A22" i="3"/>
  <c r="L21" i="3"/>
  <c r="I21" i="3"/>
  <c r="H21" i="3"/>
  <c r="F21" i="3"/>
  <c r="D21" i="3"/>
  <c r="A21" i="3"/>
  <c r="L20" i="3"/>
  <c r="I20" i="3"/>
  <c r="H20" i="3"/>
  <c r="F20" i="3"/>
  <c r="D20" i="3"/>
  <c r="A20" i="3"/>
  <c r="L19" i="3"/>
  <c r="I19" i="3"/>
  <c r="H19" i="3"/>
  <c r="F19" i="3"/>
  <c r="D19" i="3"/>
  <c r="A19" i="3"/>
  <c r="L18" i="3"/>
  <c r="I18" i="3"/>
  <c r="H18" i="3"/>
  <c r="F18" i="3"/>
  <c r="D18" i="3"/>
  <c r="A18" i="3"/>
  <c r="L17" i="3"/>
  <c r="I17" i="3"/>
  <c r="H17" i="3"/>
  <c r="F17" i="3"/>
  <c r="D17" i="3"/>
  <c r="A17" i="3"/>
  <c r="L16" i="3"/>
  <c r="I16" i="3"/>
  <c r="H16" i="3"/>
  <c r="F16" i="3"/>
  <c r="D16" i="3"/>
  <c r="A16" i="3"/>
  <c r="L15" i="3"/>
  <c r="I15" i="3"/>
  <c r="H15" i="3"/>
  <c r="F15" i="3"/>
  <c r="D15" i="3"/>
  <c r="A15" i="3"/>
  <c r="L14" i="3"/>
  <c r="I14" i="3"/>
  <c r="H14" i="3"/>
  <c r="F14" i="3"/>
  <c r="D14" i="3"/>
  <c r="A14" i="3"/>
  <c r="L13" i="3"/>
  <c r="I13" i="3"/>
  <c r="H13" i="3"/>
  <c r="F13" i="3"/>
  <c r="D13" i="3"/>
  <c r="A13" i="3"/>
  <c r="L12" i="3"/>
  <c r="I12" i="3"/>
  <c r="H12" i="3"/>
  <c r="F12" i="3"/>
  <c r="D12" i="3"/>
  <c r="A12" i="3"/>
  <c r="L11" i="3"/>
  <c r="I11" i="3"/>
  <c r="H11" i="3"/>
  <c r="F11" i="3"/>
  <c r="D11" i="3"/>
  <c r="A11" i="3"/>
  <c r="L10" i="3"/>
  <c r="I10" i="3"/>
  <c r="H10" i="3"/>
  <c r="F10" i="3"/>
  <c r="D10" i="3"/>
  <c r="A10" i="3"/>
  <c r="L9" i="3"/>
  <c r="I9" i="3"/>
  <c r="H9" i="3"/>
  <c r="F9" i="3"/>
  <c r="D9" i="3"/>
  <c r="A9" i="3"/>
  <c r="L8" i="3"/>
  <c r="I8" i="3"/>
  <c r="H8" i="3"/>
  <c r="F8" i="3"/>
  <c r="D8" i="3"/>
  <c r="A8" i="3"/>
  <c r="L7" i="3"/>
  <c r="I7" i="3"/>
  <c r="H7" i="3"/>
  <c r="F7" i="3"/>
  <c r="D7" i="3"/>
  <c r="A7" i="3"/>
  <c r="L6" i="3"/>
  <c r="I6" i="3"/>
  <c r="H6" i="3"/>
  <c r="F6" i="3"/>
  <c r="D6" i="3"/>
  <c r="A6" i="3"/>
  <c r="L5" i="3"/>
  <c r="I5" i="3"/>
  <c r="H5" i="3"/>
  <c r="F5" i="3"/>
  <c r="D5" i="3"/>
  <c r="A5" i="3"/>
  <c r="L4" i="3"/>
  <c r="I4" i="3"/>
  <c r="H4" i="3"/>
  <c r="F4" i="3"/>
  <c r="D4" i="3"/>
  <c r="A4" i="3"/>
  <c r="L3" i="3"/>
  <c r="I3" i="3"/>
  <c r="H3" i="3"/>
  <c r="F3" i="3"/>
  <c r="D3" i="3"/>
  <c r="A3" i="3"/>
  <c r="L2" i="3"/>
  <c r="I2" i="3"/>
  <c r="H2" i="3"/>
  <c r="F2" i="3"/>
  <c r="D2" i="3"/>
  <c r="A2" i="3"/>
</calcChain>
</file>

<file path=xl/sharedStrings.xml><?xml version="1.0" encoding="utf-8"?>
<sst xmlns="http://schemas.openxmlformats.org/spreadsheetml/2006/main" count="2017" uniqueCount="515">
  <si>
    <t>在庫チェックRPA統合化プロジェクト　拠点別変数表　サマリー</t>
  </si>
  <si>
    <t>最終更新：2026年7月6日／企画室　天野</t>
  </si>
  <si>
    <t>■ 対象拠点(拠点別設定値シートに全9行、9拠点とも共通ループで実行)</t>
  </si>
  <si>
    <t>拠点コード</t>
  </si>
  <si>
    <t>拠点名</t>
  </si>
  <si>
    <t>稼働フラグ</t>
  </si>
  <si>
    <t>処理シート範囲</t>
  </si>
  <si>
    <t>発注点リセット基準日確認</t>
  </si>
  <si>
    <t>Z1901</t>
  </si>
  <si>
    <t>札幌</t>
  </si>
  <si>
    <t>有</t>
  </si>
  <si>
    <t>1〜19</t>
  </si>
  <si>
    <t>実ファイル確認済み</t>
  </si>
  <si>
    <t>Z3932</t>
  </si>
  <si>
    <t>倉庫(本社)</t>
  </si>
  <si>
    <t>1〜20</t>
  </si>
  <si>
    <t>Z3951</t>
  </si>
  <si>
    <t>製造(大型)</t>
  </si>
  <si>
    <t>1〜8</t>
  </si>
  <si>
    <t>Z3934</t>
  </si>
  <si>
    <t>外注鉄</t>
  </si>
  <si>
    <t>1〜27</t>
  </si>
  <si>
    <t>Z1915</t>
  </si>
  <si>
    <t>船舶(機械部)</t>
  </si>
  <si>
    <t>1〜25</t>
  </si>
  <si>
    <t>Z1903</t>
  </si>
  <si>
    <t>仙台</t>
  </si>
  <si>
    <t>1〜18</t>
  </si>
  <si>
    <t>Z1907</t>
  </si>
  <si>
    <t>福岡</t>
  </si>
  <si>
    <t>未確認(PDFのみ)</t>
  </si>
  <si>
    <t>Z1905</t>
  </si>
  <si>
    <t>東京</t>
  </si>
  <si>
    <t>成果連絡表(色物)</t>
  </si>
  <si>
    <t>有(2026/7/3時点、共有フォルダで本日更新を確認済み)</t>
  </si>
  <si>
    <t>未確認(要現物確認)</t>
  </si>
  <si>
    <t>■ 2026/7/6 設計確定：成果連絡表(色物)は9拠点目として統合</t>
  </si>
  <si>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</si>
  <si>
    <t>■ 要確認事項シート ステータス集計</t>
  </si>
  <si>
    <t>未確認</t>
  </si>
  <si>
    <t>14件</t>
  </si>
  <si>
    <t>決定済み</t>
  </si>
  <si>
    <t>22件</t>
  </si>
  <si>
    <t>確認済み・再評価等</t>
  </si>
  <si>
    <t>8件</t>
  </si>
  <si>
    <t>回答待ち(暫定反映)</t>
  </si>
  <si>
    <t>0件</t>
  </si>
  <si>
    <t>合計</t>
  </si>
  <si>
    <t>44件</t>
  </si>
  <si>
    <t>■ 荘田室長への最優先確認事項(未回答分)</t>
  </si>
  <si>
    <t>・東京：シートループ回数と実部署数の不一致は「業務的な未整備状態(バグではない)」と整理 → 統合版では処理対象シート_終了番号を19に是正済み</t>
  </si>
  <si>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</si>
  <si>
    <t>・福岡：発注点リセット基準日数(部署別)が実ファイル未入手のため未確認</t>
  </si>
  <si>
    <t>・仙台：19枚目シート(異常データ)がループ対象外である理由 → 2026/7/6 決定：終了番号が実在シート数より小さい場合は単なるスキップでよいという一般ルールが確定し、仙台は終了番号=18のままでよいことが確定</t>
  </si>
  <si>
    <t>■ 2026/7/6 荘田室長より正式回答受領（確定）</t>
  </si>
  <si>
    <t>・①外注鉄O列(発注点-在庫数差分)の転記先 → 確定：問題なし(各拠点共通処理化)。規定日数超過時に差分を発注点へ書き換え、発注点を引き下げる業務ロジックと判明</t>
  </si>
  <si>
    <t>・②発注点リセット基準日数のシート単位管理方式 → 確定：問題なし(便利)。仕入れリードタイム変更等でシート単位に基準日数を変えて運用してきた実績あり</t>
  </si>
  <si>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</si>
  <si>
    <t>・④外注鉄／成果連絡表(色物)の日付重複(=TODAY()と確定値) → ★想定と相違：設計ではなくコピー時の消し忘れの可能性大。実害なければどちらか一方を削除する方針に変更</t>
  </si>
  <si>
    <t>・⑤外注鉄3シートのコピペ形式(すべて→値のみ) → 確定：値のみコピーで統一してよい</t>
  </si>
  <si>
    <t>　※2026/7/6 荘田室長より正式回答受領済み。①②③⑤は想定通り確定。④のみ想定と異なり、実装方針を修正(重複列のどちらかを削除)。</t>
  </si>
  <si>
    <t>■ 実装上の注意点(RK-10シナリオ設計)</t>
  </si>
  <si>
    <t>・2026/7/6 判明：「Excel・CSVファイルから表を抽出」アクティビティは、対象範囲が全セル罫線(格子線)で囲まれていないと表として認識できず抽出に失敗する。</t>
  </si>
  <si>
    <t>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</si>
  <si>
    <t>　→拠点追加・項目追加などでシートを手動編集した際は、ヘッダー行〜データ行まで罫線が崩れていないか目視確認すること。</t>
  </si>
  <si>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</si>
  <si>
    <t>■ 運用課題(要検討・未決定)：実行時間帯とライセンス制約</t>
  </si>
  <si>
    <t>2026/7/6 天野指摘：1拠点あたり約40分。現行の先行4拠点(倉庫/製造/外注鉄/船舶)で40分×4本=約160分。9拠点(成果連絡表(色物)含む)全てを組み込むと40分×9本=約360分(6時間)となり、朝2:30〜7:00の実行枠(約270分)に収まらない可能性が高い。</t>
  </si>
  <si>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</si>
  <si>
    <t>9拠点統合が完了する前に、実行時間の実測値をもとにスケジュール設計を確定させる必要がある。</t>
  </si>
  <si>
    <t>在庫チェックRPA統合版　拠点別設定値テーブル（このシートを統合シナリオが参照する）</t>
  </si>
  <si>
    <t>基本情報</t>
  </si>
  <si>
    <t>稼働管理</t>
  </si>
  <si>
    <t>処理対象シート範囲</t>
  </si>
  <si>
    <t>格納フォルダ管理</t>
  </si>
  <si>
    <t>処理有無</t>
  </si>
  <si>
    <t>処理有無_備考</t>
  </si>
  <si>
    <t>TIMS起動引数</t>
  </si>
  <si>
    <t>CSVファイル名</t>
  </si>
  <si>
    <t>在庫帳ブック名</t>
  </si>
  <si>
    <t>参照元(ネットワーク)フルパス</t>
  </si>
  <si>
    <t>保存先(ネットワーク)フルパス</t>
  </si>
  <si>
    <t>欠品_列挿入位置</t>
  </si>
  <si>
    <t>欠品_コピペ元列</t>
  </si>
  <si>
    <t>欠品_コピペ先列</t>
  </si>
  <si>
    <t>欠品_処理開始行</t>
  </si>
  <si>
    <t>欠品_処理終了行</t>
  </si>
  <si>
    <t>在庫額_列挿入位置</t>
  </si>
  <si>
    <t>在庫額_コピペ元列</t>
  </si>
  <si>
    <t>在庫額_コピペ先列</t>
  </si>
  <si>
    <t>在庫額_処理開始行</t>
  </si>
  <si>
    <t>在庫額_処理終了行</t>
  </si>
  <si>
    <t>CSV範囲_終端列</t>
  </si>
  <si>
    <t>CSV範囲_終端行</t>
  </si>
  <si>
    <t>シートループ回数</t>
  </si>
  <si>
    <t>休日判定_実行</t>
  </si>
  <si>
    <t>ネット事前取得_実行</t>
  </si>
  <si>
    <t>OLDバックアップ_実行</t>
  </si>
  <si>
    <t>CSV空白除去_実行</t>
  </si>
  <si>
    <t>発注点補正_実行</t>
  </si>
  <si>
    <t>O列転記_実行</t>
  </si>
  <si>
    <t>追加終了プロセス_実行</t>
  </si>
  <si>
    <t>追加終了プロセス名</t>
  </si>
  <si>
    <t>CSVデータセット数</t>
  </si>
  <si>
    <t>副拠点コード</t>
  </si>
  <si>
    <t>副TIMS起動引数</t>
  </si>
  <si>
    <t>副CSVファイル名</t>
  </si>
  <si>
    <t>主CSV貼付開始セル</t>
  </si>
  <si>
    <t>副CSV貼付開始セル</t>
  </si>
  <si>
    <t>副CSV範囲_終端行</t>
  </si>
  <si>
    <t>欠品色_列挿入位置</t>
  </si>
  <si>
    <t>欠品色_コピペ元列</t>
  </si>
  <si>
    <t>欠品色_コピペ先列</t>
  </si>
  <si>
    <t>欠品色_処理開始行</t>
  </si>
  <si>
    <t>欠品色_処理終了行</t>
  </si>
  <si>
    <t>在庫額色_列挿入位置</t>
  </si>
  <si>
    <t>在庫額色_コピペ元列</t>
  </si>
  <si>
    <t>在庫額色_コピペ先列</t>
  </si>
  <si>
    <t>在庫額色_処理開始行</t>
  </si>
  <si>
    <t>在庫額色_処理終了行</t>
  </si>
  <si>
    <t>発注点リセット_実行</t>
  </si>
  <si>
    <t>発注点リセット_管理方式</t>
  </si>
  <si>
    <t>発注点リセット_設定参照先</t>
  </si>
  <si>
    <t>RPAシナリオ本体_フルパス</t>
  </si>
  <si>
    <t>処理対象シート_開始番号</t>
  </si>
  <si>
    <t>処理対象シート_終了番号</t>
  </si>
  <si>
    <t>欠品シート名</t>
  </si>
  <si>
    <t>在庫額シート名</t>
  </si>
  <si>
    <t>欠品色シート名</t>
  </si>
  <si>
    <t>在庫額色シート名</t>
  </si>
  <si>
    <t>在庫帳ブックローカルフォルダ名</t>
  </si>
  <si>
    <t>-site:"Z1901"</t>
  </si>
  <si>
    <t>札幌在庫データ.csv</t>
  </si>
  <si>
    <r>
      <rPr>
        <sz val="10"/>
        <rFont val="ＭＳ ゴシック"/>
        <family val="3"/>
      </rPr>
      <t>札幌在庫帳</t>
    </r>
    <r>
      <rPr>
        <sz val="10"/>
        <rFont val="Arial"/>
        <family val="2"/>
      </rPr>
      <t>.xlsx</t>
    </r>
  </si>
  <si>
    <t>\\192.168.0.35\disk\企画室\倉庫\前日データ\札幌在庫帳.xlsx</t>
  </si>
  <si>
    <t>X</t>
  </si>
  <si>
    <t>W</t>
  </si>
  <si>
    <t>V</t>
  </si>
  <si>
    <t>U</t>
  </si>
  <si>
    <t>D</t>
  </si>
  <si>
    <t>無</t>
  </si>
  <si>
    <t>有(統合版で新規実装要・現行札幌シナリオには無し)</t>
  </si>
  <si>
    <t>A3</t>
  </si>
  <si>
    <t>部署別テーブル参照</t>
  </si>
  <si>
    <t>発注点リセット_部署別設定シート</t>
  </si>
  <si>
    <t>欠品</t>
  </si>
  <si>
    <t>在庫額</t>
  </si>
  <si>
    <t>在庫帳</t>
  </si>
  <si>
    <t>-site:"Z3932"</t>
  </si>
  <si>
    <t>倉庫在庫データ.csv</t>
  </si>
  <si>
    <t>本社商品在庫日報.xlsx</t>
  </si>
  <si>
    <t>\\192.168.0.35\disk\企画室\倉庫\前日データ\本社商品在庫日報.xlsx</t>
  </si>
  <si>
    <t>Y</t>
  </si>
  <si>
    <t>T</t>
  </si>
  <si>
    <t>有(PowerShell方式)</t>
  </si>
  <si>
    <t>TIMS_C05_InvntInq.exe</t>
  </si>
  <si>
    <t>-site:"Z3951"</t>
  </si>
  <si>
    <t>製造在庫データ.csv</t>
  </si>
  <si>
    <t>製造在庫帳（大型）.xlsx</t>
  </si>
  <si>
    <t>\\192.168.0.35\disk\企画室\倉庫\前日データ\製造在庫帳（大型）.xlsx</t>
  </si>
  <si>
    <t>AD</t>
  </si>
  <si>
    <t>AC</t>
  </si>
  <si>
    <t>AA</t>
  </si>
  <si>
    <t>Z</t>
  </si>
  <si>
    <t>無※要確認</t>
  </si>
  <si>
    <t>-site:"Z3934"</t>
  </si>
  <si>
    <t>外注在庫データ.csv</t>
  </si>
  <si>
    <t>外注鉄在庫帳.xlsx</t>
  </si>
  <si>
    <t>\\192.168.0.35\disk\企画室\倉庫\前日データ\外注鉄在庫帳.xlsx</t>
  </si>
  <si>
    <t>無※資料上確認できず</t>
  </si>
  <si>
    <t>A4000</t>
  </si>
  <si>
    <t>在庫切れ</t>
  </si>
  <si>
    <t>欠品（色）</t>
  </si>
  <si>
    <t>在庫額（色）</t>
  </si>
  <si>
    <t>-site:"Z1915"</t>
  </si>
  <si>
    <t>船舶在庫データ.csv</t>
  </si>
  <si>
    <t>船舶在庫帳.xlsx</t>
  </si>
  <si>
    <t>\\192.168.0.35\disk\企画室\倉庫\前日データ\船舶在庫帳.xlsx</t>
  </si>
  <si>
    <t>-site:"Z1903"</t>
  </si>
  <si>
    <t>仙台在庫データ.csv</t>
  </si>
  <si>
    <r>
      <rPr>
        <sz val="10"/>
        <rFont val="ＭＳ ゴシック"/>
        <family val="3"/>
      </rPr>
      <t>仙台在庫帳</t>
    </r>
    <r>
      <rPr>
        <sz val="10"/>
        <rFont val="Arial"/>
        <family val="2"/>
      </rPr>
      <t>.xlsx</t>
    </r>
  </si>
  <si>
    <t>\\192.168.0.35\disk\企画室\倉庫\前日データ\仙台在庫帳.xlsx</t>
  </si>
  <si>
    <t>有(Excel置換方式)</t>
  </si>
  <si>
    <t>-site:"Z1907"</t>
  </si>
  <si>
    <t>福岡在庫データ.csv</t>
  </si>
  <si>
    <r>
      <rPr>
        <sz val="10"/>
        <rFont val="ＭＳ ゴシック"/>
        <family val="3"/>
      </rPr>
      <t>福岡在庫帳</t>
    </r>
    <r>
      <rPr>
        <sz val="10"/>
        <rFont val="Arial"/>
        <family val="2"/>
      </rPr>
      <t>.xlsx</t>
    </r>
  </si>
  <si>
    <t>\\192.168.0.35\disk\企画室\倉庫\前日データ\福岡在庫帳.xlsx</t>
  </si>
  <si>
    <t>-site:"Z1905"</t>
  </si>
  <si>
    <r>
      <rPr>
        <sz val="10"/>
        <rFont val="ＭＳ ゴシック"/>
        <family val="3"/>
      </rPr>
      <t>東京在庫データ</t>
    </r>
    <r>
      <rPr>
        <sz val="10"/>
        <rFont val="Arial"/>
        <family val="2"/>
      </rPr>
      <t>.csv</t>
    </r>
  </si>
  <si>
    <r>
      <rPr>
        <sz val="10"/>
        <rFont val="ＭＳ ゴシック"/>
        <family val="3"/>
      </rPr>
      <t>東京在庫帳</t>
    </r>
    <r>
      <rPr>
        <sz val="10"/>
        <rFont val="Arial"/>
        <family val="2"/>
      </rPr>
      <t>.xlsx</t>
    </r>
  </si>
  <si>
    <t>\\192.168.0.35\disk\企画室\倉庫\前日データ\東京在庫帳.xlsx</t>
  </si>
  <si>
    <t>有(2026/7/3。ローカル保存のみのため実際の稼働有無は別途要確認だが、統合対象としては有効)</t>
  </si>
  <si>
    <t>成果連絡表（色物）.xlsx</t>
  </si>
  <si>
    <t>\\192.168.0.35\disk\企画室\倉庫\前日データ\成果連絡表（色物）.xlsx</t>
  </si>
  <si>
    <t>TIMS_ClientPC.exe / TIMS_C05_InvntInq.exe</t>
  </si>
  <si>
    <t>A4034</t>
  </si>
  <si>
    <t>AB</t>
  </si>
  <si>
    <t>AE</t>
  </si>
  <si>
    <t>発注点割れ</t>
  </si>
  <si>
    <t>区分</t>
  </si>
  <si>
    <t>系統</t>
  </si>
  <si>
    <t>シート名</t>
  </si>
  <si>
    <t>列削除_開始位置</t>
  </si>
  <si>
    <t>列挿入位置</t>
  </si>
  <si>
    <t>ステップ番号</t>
  </si>
  <si>
    <t>コピー範囲</t>
  </si>
  <si>
    <t>貼付先セル</t>
  </si>
  <si>
    <t>貼付形式</t>
  </si>
  <si>
    <t>備考</t>
  </si>
  <si>
    <t>列削除列挿入_要否</t>
  </si>
  <si>
    <t>標準</t>
  </si>
  <si>
    <t>値</t>
  </si>
  <si>
    <t>すべて</t>
  </si>
  <si>
    <t>末尾2行(書式ずれ対策)。2026/7/6荘田室長回答により貼付形式は「値」に統一／2026/8/5 実データ検証済み：V1.0個別シナリオ(外注鉄・仙台)と同じ「すべて」に統一。全9拠点の答えファイルで位置(処理開始行+1=目標値行)を実機照合済み</t>
  </si>
  <si>
    <t>色物</t>
  </si>
  <si>
    <t>変数名</t>
  </si>
  <si>
    <t>型</t>
  </si>
  <si>
    <t>説明</t>
  </si>
  <si>
    <t>文字列</t>
  </si>
  <si>
    <t>TIMS起動時の-siteパラメータに使う識別コード</t>
  </si>
  <si>
    <t>表示・ログ出力用の拠点名</t>
  </si>
  <si>
    <t>TIMS_ClientPC.exe起動時の引数（-site:"コード"）</t>
  </si>
  <si>
    <t>拠点コードから組立可</t>
  </si>
  <si>
    <t>TIMSからエクスポートするCSVのファイル名</t>
  </si>
  <si>
    <t>処理対象の在庫帳/日報Excelファイル名</t>
  </si>
  <si>
    <t>処理後にファイルを保存するネットワーク共有先</t>
  </si>
  <si>
    <t>欠品シート構造</t>
  </si>
  <si>
    <t>整数</t>
  </si>
  <si>
    <t>欠品シートで新規列を挿入する位置</t>
  </si>
  <si>
    <t>テンプレート由来の差異</t>
  </si>
  <si>
    <t>列記号</t>
  </si>
  <si>
    <t>コピー元の列（挿入前の最終列相当）</t>
  </si>
  <si>
    <t>貼り付け先の列（挿入で1列前にずれた列）</t>
  </si>
  <si>
    <t>欠品データの処理開始行</t>
  </si>
  <si>
    <t>将来的に動的取得へ置換候補</t>
  </si>
  <si>
    <t>欠品データの処理終了行</t>
  </si>
  <si>
    <t>在庫額シート構造</t>
  </si>
  <si>
    <t>在庫額シートで新規列を挿入する位置</t>
  </si>
  <si>
    <t>コピー元の列</t>
  </si>
  <si>
    <t>貼り付け先の列</t>
  </si>
  <si>
    <t>在庫額データの処理開始行</t>
  </si>
  <si>
    <t>在庫額データの処理終了行</t>
  </si>
  <si>
    <t>CSV/ループ</t>
  </si>
  <si>
    <t>CSVコピペ範囲の終端列</t>
  </si>
  <si>
    <t>CSVコピペ範囲の終端行（現状は固定値）</t>
  </si>
  <si>
    <t>将来的に「最初の空行」で動的化候補</t>
  </si>
  <si>
    <t>拠点別データシート(1,2,3...)を処理する回数</t>
  </si>
  <si>
    <t>将来的にシート数取得で動的化候補
2026/7/6：終了番号との不一致時の挙動仕様は「処理対象シート_終了番号」の備考を参照。</t>
  </si>
  <si>
    <t>処理フラグ</t>
  </si>
  <si>
    <t>有/無</t>
  </si>
  <si>
    <t>カレンダー参照による休日スキップ処理を行うか</t>
  </si>
  <si>
    <t>倉庫・製造・船舶は有、札幌は無</t>
  </si>
  <si>
    <t>処理前にネットワークから最新ブックをローカルへ取得するか</t>
  </si>
  <si>
    <t>処理前の旧ファイルをOLDフォルダへ退避するか</t>
  </si>
  <si>
    <t>倉庫・船舶は有、製造は要確認、札幌は無</t>
  </si>
  <si>
    <t>TIMS出力CSVの余分な半角スペースをPowerShellで除去するか</t>
  </si>
  <si>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</si>
  <si>
    <t>COUNTIFによる発注点(E列)未設定商品への自動補完を行うか</t>
  </si>
  <si>
    <t>2026/7/3 荘田室長口頭確認により全拠点共通実装に決定（発注点0かつ在庫&gt;0の場合、在庫数を発注点に書き換え）</t>
  </si>
  <si>
    <t>O列(発注点-在庫数)の値をE列へ転記する処理を行うか</t>
  </si>
  <si>
    <t>製造のみ有（倉庫・札幌・船舶は無）</t>
  </si>
  <si>
    <t>プロセス終了</t>
  </si>
  <si>
    <t>TIMS_ClientPC.exeに加えて追加のプロセスも終了するか</t>
  </si>
  <si>
    <t>追加で終了するプロセスの実行ファイル名</t>
  </si>
  <si>
    <t>TIMS_C05_InvntInq.exe 等</t>
  </si>
  <si>
    <t>複数CSVデータセット</t>
  </si>
  <si>
    <t>1回のシナリオでTIMSから取得して在庫帳へ貼り付けるCSVの本数</t>
  </si>
  <si>
    <t>表示・確認用の参考値。シナリオ本体の分岐条件は「副拠点コード」の有無を用いる。</t>
  </si>
  <si>
    <t>2本目のCSVを取得するTIMS拠点コード</t>
  </si>
  <si>
    <t>2026/7/3決定：統合シナリオはこの値が空欄かどうかで2本目のCSV取得要否を判定する(空欄なら取得しない)。実質的な制御フラグはこの列。</t>
  </si>
  <si>
    <t>2本目のCSV取得時にTIMS_ClientPC.exeへ渡す引数</t>
  </si>
  <si>
    <t>-site:"副拠点コード"</t>
  </si>
  <si>
    <t>2本目にTIMSからエクスポートするCSVファイル名</t>
  </si>
  <si>
    <t>外注鉄では倉庫在庫データ.csv</t>
  </si>
  <si>
    <t>セル番地</t>
  </si>
  <si>
    <t>主CSVをバーコード貼付シートへ貼り付ける開始セル</t>
  </si>
  <si>
    <t>通常はA3、外注鉄はA4000</t>
  </si>
  <si>
    <t>副CSVをバーコード貼付シートへ貼り付ける開始セル</t>
  </si>
  <si>
    <t>外注鉄はA3</t>
  </si>
  <si>
    <t>副CSVのコピー範囲終端行</t>
  </si>
  <si>
    <t>外注鉄では3953</t>
  </si>
  <si>
    <t>欠品（色）シート構造</t>
  </si>
  <si>
    <t>欠品（色）シートで新規列を挿入する位置</t>
  </si>
  <si>
    <t>外注鉄シナリオで確認</t>
  </si>
  <si>
    <t>欠品（色）シートのコピー元列</t>
  </si>
  <si>
    <t>外注鉄ではAA</t>
  </si>
  <si>
    <t>欠品（色）シートの貼り付け先列</t>
  </si>
  <si>
    <t>外注鉄ではZ</t>
  </si>
  <si>
    <t>欠品（色）シートの処理開始行</t>
  </si>
  <si>
    <t>外注鉄では41</t>
  </si>
  <si>
    <t>欠品（色）シートの処理終了行</t>
  </si>
  <si>
    <t>外注鉄では63</t>
  </si>
  <si>
    <t>在庫額（色）シート構造</t>
  </si>
  <si>
    <t>在庫額（色）シートで新規列を挿入する位置</t>
  </si>
  <si>
    <t>在庫額（色）シートのコピー元列</t>
  </si>
  <si>
    <t>外注鉄ではW</t>
  </si>
  <si>
    <t>在庫額（色）シートの貼り付け先列</t>
  </si>
  <si>
    <t>外注鉄ではV</t>
  </si>
  <si>
    <t>在庫額（色）シートの処理開始行</t>
  </si>
  <si>
    <t>在庫額（色）シートの処理終了行</t>
  </si>
  <si>
    <t>発注点0リセット機能</t>
  </si>
  <si>
    <t>在庫0が一定期間継続した場合に発注点(E列)を0にリセットする機能を実行するか</t>
  </si>
  <si>
    <t>2026/7/3 荘田室長口頭確認により実装方針決定。全拠点で有</t>
  </si>
  <si>
    <t>リセット基準日数の管理方式（固定文字列：部署別テーブル参照）</t>
  </si>
  <si>
    <t>サイト単位ではなく部署(シート)単位で管理するため、詳細は別シート参照</t>
  </si>
  <si>
    <t>詳細設定を保持するシート名</t>
  </si>
  <si>
    <t>「発注点リセット_部署別設定」シートを参照</t>
  </si>
  <si>
    <t>統合シナリオがこの拠点を処理対象に含めるか。無の場合はこの拠点をスキップする。</t>
  </si>
  <si>
    <t>2026/7/3新設。東京は実ファイル未更新(半年以上CSV更新なし)が確認されたため暫定的に「無」。荘田さん確認後に有効化できるようパラメータ化。</t>
  </si>
  <si>
    <t>この拠点の(統合前)個別RPAシナリオファイル自体の保存先フルパス</t>
  </si>
  <si>
    <t>2026/7/3新設。現時点では未収集(各拠点PDFにはシナリオ本体のファイルパスまでは記載が無かったため空欄)。実担当・KEYENCE RK-10管理画面等で確認要。</t>
  </si>
  <si>
    <t>部署シートのループ処理を開始する番号(通常は1)</t>
  </si>
  <si>
    <t>2026/7/3新設。従来の「シートループ回数」(常に1から数える前提)を、開始・終了を明示的に指定できる形に拡張。</t>
  </si>
  <si>
    <t>部署シートのループ処理を終了する番号</t>
  </si>
  <si>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</si>
  <si>
    <t>この行(拠点)を今回の実行対象に含めるかどうか。テスト時の対象絞り込みや、未来日付でまだ使わない設定・削除はしないが今は使わない設定の一時保管にも使う。</t>
  </si>
  <si>
    <t>2026/7/6 新設(先頭列)。「拠点ループ対象」列は役割が重複するため廃止しこちらに一本化。</t>
  </si>
  <si>
    <t>処理有無を「無」にしている理由の記録用。テスト除外／未来日付でまだ使わない設定／削除せず保留中の設定、のどれに該当するか等を記載。「有」の行は空欄でよい。</t>
  </si>
  <si>
    <t>2026/7/6 新設。処理有無だけだと半年後などに理由が分からなくなるため追加。</t>
  </si>
  <si>
    <t>シート名管理</t>
  </si>
  <si>
    <t>欠品系データを書き込むシートの実際の名称</t>
  </si>
  <si>
    <t>2026/7/7新設。外注鉄のみ「在庫切れ」、他は「欠品」</t>
  </si>
  <si>
    <t>在庫額系データを書き込むシートの実際の名称</t>
  </si>
  <si>
    <t>2026/7/7新設。他は「在庫額」だが、拠点によって異なりうるため列化</t>
  </si>
  <si>
    <t>欠品色系データを書き込むシートの実際の名称</t>
  </si>
  <si>
    <t>2026/7/7新設。外注鉄は「欠品(色)」、成果連絡表(色物)はこの列に自身の主データ用シート名「欠品」を格納（欠品色_*列を色物本体データの格納先として流用しているため）</t>
  </si>
  <si>
    <t>在庫額色系データを書き込むシートの実際の名称</t>
  </si>
  <si>
    <t>2026/7/7新設。外注鉄は「在庫額(色)」、成果連絡表(色物)は「発注点割れ」</t>
  </si>
  <si>
    <t>ステータス</t>
  </si>
  <si>
    <t>対象拠点</t>
  </si>
  <si>
    <t>項目</t>
  </si>
  <si>
    <t>内容</t>
  </si>
  <si>
    <t>決定済み(実装方針決定)</t>
  </si>
  <si>
    <t>製造</t>
  </si>
  <si>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</si>
  <si>
    <t>CSVコピペ貼付先</t>
  </si>
  <si>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</si>
  <si>
    <t>倉庫/札幌</t>
  </si>
  <si>
    <t>商品別シートの列構成(D/E/O等)</t>
  </si>
  <si>
    <t>発注点補正・O列転記の列構成は製造の実ファイルでのみ実データ確認済み。倉庫・札幌の商品別シート(1,2,3…)が同じ列構成か未確認。</t>
  </si>
  <si>
    <t>決定済み(パターン確認)</t>
  </si>
  <si>
    <t>全拠点</t>
  </si>
  <si>
    <t>欠品/在庫額_処理開始行・終了行</t>
  </si>
  <si>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</si>
  <si>
    <t>発注点補正・O列転記の要否</t>
  </si>
  <si>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</si>
  <si>
    <t>主・副CSVの位置づけ</t>
  </si>
  <si>
    <t>シナリオではZ3934の外注在庫データをA4000へ、Z3932の倉庫在庫データをA3へ貼り付けている。統合版でも外注鉄を主拠点として扱い、倉庫データを副データセットとして取り込む設計でよいか。</t>
  </si>
  <si>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</si>
  <si>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</si>
  <si>
    <t>一部確認済み</t>
  </si>
  <si>
    <t>CSV終端行</t>
  </si>
  <si>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</si>
  <si>
    <t>色シートの共通化</t>
  </si>
  <si>
    <t>欠品（色）・在庫額（色）が外注鉄固有なのか、他拠点にも存在するが未処理なのかを確認する。</t>
  </si>
  <si>
    <t>無効ブロックの内容</t>
  </si>
  <si>
    <t>PDFでは行番号が108から151、160から189へ飛んでおり無効ブロックが折りたたまれている。休日判定・バックアップ・補正処理等が含まれていないか実シナリオで確認する。</t>
  </si>
  <si>
    <t>船舶</t>
  </si>
  <si>
    <t>発注点補正_実行 / O列転記_実行</t>
  </si>
  <si>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</si>
  <si>
    <t>在庫0継続による発注点リセット（3か月/1年）</t>
  </si>
  <si>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</si>
  <si>
    <t>Y23への数式書き込み</t>
  </si>
  <si>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</si>
  <si>
    <t>決定済み(PDF確認により解決)</t>
  </si>
  <si>
    <t>ウィンドウ認識のUI要素差</t>
  </si>
  <si>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</si>
  <si>
    <t>確認済み</t>
  </si>
  <si>
    <t>発注点リセット_部署別設定の実データ整備</t>
  </si>
  <si>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</si>
  <si>
    <t>F1書き込み方式の実装設計</t>
  </si>
  <si>
    <t>統合シナリオが「発注点リセット_部署別設定」の値をもとに、各シートのF1セルへ数式(例：=TODAY()-90)を書き込む処理を実装する。数式を書き込むか、計算済みの日付値を書き込むかは実装時に確定する。</t>
  </si>
  <si>
    <t>リセット日数の異常値(シート5)</t>
  </si>
  <si>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</si>
  <si>
    <t>倉庫</t>
  </si>
  <si>
    <t>発注点差分の列位置(O列でなくN列)</t>
  </si>
  <si>
    <t>倉庫の商品別シートのみ、発注点と在庫数の差分(他拠点はO列)が"発点差"としてN列に入っている。将来O列転記等の機能を倉庫に適用する場合、参照列をN列に読み替える必要がある。</t>
  </si>
  <si>
    <t>ローカル作業ファイルのフォルダ不一致</t>
  </si>
  <si>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</si>
  <si>
    <t>プロセス終了ステップの設定</t>
  </si>
  <si>
    <t>189行目の「アプリケーション(プロセス)を終了」で、プロセス名欄にExcelファイルのフルパスが指定されている。通常はexeファイル名を指定する項目のため、設定ミスの可能性がある。実シナリオで実際の値を確認する。</t>
  </si>
  <si>
    <t>外注鉄／荘田室長</t>
  </si>
  <si>
    <t>複数CSV(主/副)構成の業務的必要性</t>
  </si>
  <si>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</si>
  <si>
    <t>シートループ回数と実シート数の不一致</t>
  </si>
  <si>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</si>
  <si>
    <t>欠品継続時のE列(発注点)自動加算ロジック</t>
  </si>
  <si>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</si>
  <si>
    <t>発注点補正(COUNTIF)実装の有無</t>
  </si>
  <si>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</si>
  <si>
    <t>欠品シートG列の値</t>
  </si>
  <si>
    <t>欠品シートのG列は、ヘッダー(2行目)にも各行にも固定的でない数値(拠点や商品によって異なる値)が入っており、用途不明。他拠点のO列/N列のような明確な役割が読み取れないため、実データで用途を確認する。</t>
  </si>
  <si>
    <t>決定済み(要横展開)</t>
  </si>
  <si>
    <t>仙台/福岡/東京</t>
  </si>
  <si>
    <t>CSV空白除去の実装方式差</t>
  </si>
  <si>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</si>
  <si>
    <t>一部確認済み(状況証拠あり)</t>
  </si>
  <si>
    <t>CSV出力ステップが無効ブロック内にある</t>
  </si>
  <si>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</si>
  <si>
    <t>決定済み(対応方針確定・追加確認不要)</t>
  </si>
  <si>
    <t>CSV保存パスの入力方式の違い</t>
  </si>
  <si>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</si>
  <si>
    <t>確認済み(仕様通り・将来対応予定)</t>
  </si>
  <si>
    <t>保存先ネットワークパスの欠落</t>
  </si>
  <si>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</si>
  <si>
    <t>発注点リセット基準日数(部署別)が未確認</t>
  </si>
  <si>
    <t>福岡(19部署)は実ファイル未入手のため「発注点リセット_部署別設定」シートに未反映。東京は実ファイルで90日(全19部署)確認済み。福岡の実ファイル入手後に確認・追記が必要。</t>
  </si>
  <si>
    <t>CSV空白除去_実行の要否</t>
  </si>
  <si>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</si>
  <si>
    <t>確認済み(業務仕様として整理・パラメータ化希望あり)</t>
  </si>
  <si>
    <t>シートループ回数と実部署数の不一致(3部署が処理対象外の疑い)</t>
  </si>
  <si>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</si>
  <si>
    <t>再評価(停止の根拠は後退・要再確認)</t>
  </si>
  <si>
    <t>実ファイルの更新停滞</t>
  </si>
  <si>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</si>
  <si>
    <t>欠品継続時のE列加算ロジック</t>
  </si>
  <si>
    <t>仙台で確認したものと同一の仕組み(I列=1かつH列空欄のときE列(発注点)を+1して書き戻す)が東京の実ファイルにも存在。該当行は18件(仙台は3件)。統合版での扱いは仙台分と合わせて一括で荘田さんに確認する。</t>
  </si>
  <si>
    <t>稼働フラグのパラメータ化</t>
  </si>
  <si>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</si>
  <si>
    <t>確認済み(統合は見送り・別シナリオ継続)</t>
  </si>
  <si>
    <t>外注鉄と同系統の色物分析としてパラメータ化</t>
  </si>
  <si>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</si>
  <si>
    <t>拠点別設定値へ統合・8拠点ループに含める</t>
  </si>
  <si>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</si>
  <si>
    <t>処理対象シートの開始/終了番号パラメータ化</t>
  </si>
  <si>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</si>
  <si>
    <t>ローカル保存のまま運用継続でOK</t>
  </si>
  <si>
    <t>2026/7/3 天野判断：東京はネットワーク保存への統一を待たず、ローカルフォルダ保存のままで統合シナリオの対象として問題ない。稼働フラグは「有」のまま。</t>
  </si>
  <si>
    <t>発注点リセット基準日数のシート単位管理方式（設計承認）</t>
  </si>
  <si>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</si>
  <si>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</si>
  <si>
    <t>外注鉄／成果連絡表(色物)</t>
  </si>
  <si>
    <t>日付重複(＝TODAY()の生数式と確定値)の設計理解</t>
  </si>
  <si>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</si>
  <si>
    <t>コピペ形式(「すべて」→「値のみ」)の統一方針</t>
  </si>
  <si>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</si>
  <si>
    <t>シート数とループ回数(終了番号)不一致時の挙動仕様</t>
  </si>
  <si>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</si>
  <si>
    <t>サブルーチンへの引数渡し方式の訂正</t>
  </si>
  <si>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</si>
  <si>
    <t>列加工定義シートの新設（列削除・列挿入・コピー&amp;ペーストの汎用処理化）</t>
  </si>
  <si>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</si>
  <si>
    <t>貼付形式の「値」統一を列加工定義シートへ反映</t>
  </si>
  <si>
    <t>44番の決定（値のみコピーに統一）を受け、列加工定義（自動生成）シートの「本体範囲」「末尾2行」の両ステップとも貼付形式を「値」で生成するよう統一した。</t>
  </si>
  <si>
    <t>シート名管理列の新設</t>
  </si>
  <si>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</si>
  <si>
    <t>仙台/札幌/福岡/東京</t>
  </si>
  <si>
    <t>実機PDFとの数値クロスチェック</t>
  </si>
  <si>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</si>
  <si>
    <t>決定済み（恒久対応は保留）</t>
  </si>
  <si>
    <t>在庫帳ブック格納フォルダの二重化（TIMS/在庫帳）</t>
  </si>
  <si>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</si>
  <si>
    <t>成果連絡表(色物)（他拠点の色物系統含む）</t>
  </si>
  <si>
    <t>拠点シートの加工サブルーチンの二重列挿入バグ対応</t>
  </si>
  <si>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</si>
  <si>
    <t>決定済み（修正実施）</t>
  </si>
  <si>
    <t>外注鉄／船舶</t>
  </si>
  <si>
    <t>在庫帳ブックローカルフォルダ名の設定値誤り</t>
  </si>
  <si>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</si>
  <si>
    <t>決定済み（修正実施・恒久対応）</t>
  </si>
  <si>
    <t>船舶／成果連絡表(色物)</t>
  </si>
  <si>
    <t>在庫帳ブックローカルフォルダ名をTIMSから在庫帳へ統一</t>
  </si>
  <si>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</si>
  <si>
    <t>未着手（本番切替時タスク）</t>
  </si>
  <si>
    <t>NASへの書き戻し処理の新規実装</t>
  </si>
  <si>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</si>
  <si>
    <t>保存先(ネットワーク)フルパス列を参照元と同一に変更</t>
  </si>
  <si>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</si>
  <si>
    <t>書き戻し前のバックアップドライブ退避処理の新規実装</t>
  </si>
  <si>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</si>
  <si>
    <t>シート名(部署)</t>
  </si>
  <si>
    <t>リセット日数</t>
  </si>
  <si>
    <t>基準数式(参考)</t>
  </si>
  <si>
    <t>確認状況</t>
  </si>
  <si>
    <t>1</t>
  </si>
  <si>
    <t>TODAY()-90日 相当</t>
  </si>
  <si>
    <t>実ファイルで確認(2026/7/3)</t>
  </si>
  <si>
    <t>2</t>
  </si>
  <si>
    <t>3</t>
  </si>
  <si>
    <t>4</t>
  </si>
  <si>
    <t>5</t>
  </si>
  <si>
    <t>6</t>
  </si>
  <si>
    <t>7</t>
  </si>
  <si>
    <t>8</t>
  </si>
  <si>
    <t>9</t>
  </si>
  <si>
    <t>TODAY()-365日 相当</t>
  </si>
  <si>
    <t>10</t>
  </si>
  <si>
    <t>11</t>
  </si>
  <si>
    <t>12</t>
  </si>
  <si>
    <t>13</t>
  </si>
  <si>
    <t>14</t>
  </si>
  <si>
    <t>15</t>
  </si>
  <si>
    <t>16</t>
  </si>
  <si>
    <t>17</t>
  </si>
  <si>
    <t>18</t>
  </si>
  <si>
    <t>19</t>
  </si>
  <si>
    <t>20</t>
  </si>
  <si>
    <t>21</t>
  </si>
  <si>
    <t>22</t>
  </si>
  <si>
    <t>23</t>
  </si>
  <si>
    <t>24</t>
  </si>
  <si>
    <t>25</t>
  </si>
  <si>
    <t>実ファイルで確認(2026/7/3)。なお倉庫のみ発注点差分の列がO列でなくN列("発点差")である点に注意</t>
  </si>
  <si>
    <t>TODAY()-50日 相当</t>
  </si>
  <si>
    <t>実ファイルで確認(2026/8/5)</t>
  </si>
  <si>
    <t>26</t>
  </si>
  <si>
    <t>27</t>
  </si>
  <si>
    <t>実ファイルで確認(2026/7/3)。全19シートともF1が数式=TODAY()-90で統一(計算済み日付ではなく数式のまま保持されている実例)。</t>
  </si>
  <si>
    <t>確認済み(要確認)</t>
  </si>
  <si>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</si>
  <si>
    <t>実ファイルで確認(2026/7/3)。F1は=TODAY()-90で統一。</t>
  </si>
  <si>
    <t>実ファイルで確認(2026/7/3)。F1式自体は他部署と同じ=TODAY()-90で、データも正常に入っているが、RPAシナリオのループ回数は16回までのため、この部署(17〜19)はシナリオの処理対象外になっている可能性が高い。</t>
  </si>
  <si>
    <t>有</t>
    <rPh sb="0" eb="1">
      <t>アリ</t>
    </rPh>
    <phoneticPr fontId="23"/>
  </si>
  <si>
    <t>有</t>
    <rPh sb="0" eb="1">
      <t>ア</t>
    </rPh>
    <phoneticPr fontId="23"/>
  </si>
  <si>
    <t>\\192.168.0.35\disk\企画室\倉庫</t>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</si>
</sst>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ont>
    <font>
      <b/>
      <sz val="14"/>
      <name val="Noto Sans CJK SC"/>
    </font>
    <font>
      <sz val="11"/>
      <color theme="1"/>
      <name val="Noto Sans CJK SC"/>
    </font>
    <font>
      <b/>
      <sz val="11"/>
      <name val="Noto Sans CJK SC"/>
    </font>
    <font>
      <b/>
      <sz val="11"/>
      <color rgb="FFFFFFFF"/>
      <name val="Noto Sans CJK SC"/>
    </font>
    <font>
      <sz val="11"/>
      <color theme="1"/>
      <name val="Noto Sans CJK SC"/>
    </font>
    <font>
      <b/>
      <sz val="11"/>
      <name val="ＭＳ Ｐゴシック"/>
      <family val="3"/>
      <charset val="128"/>
    </font>
    <font>
      <b/>
      <sz val="13"/>
      <name val="Noto Sans CJK SC"/>
    </font>
    <font>
      <b/>
      <sz val="11"/>
      <color rgb="FFFFFFFF"/>
      <name val="游ゴシック"/>
      <family val="3"/>
      <charset val="128"/>
    </font>
    <font>
      <b/>
      <sz val="11"/>
      <color theme="0"/>
      <name val="ＭＳ Ｐゴシック"/>
      <family val="3"/>
      <charset val="128"/>
    </font>
    <font>
      <b/>
      <sz val="11"/>
      <color theme="0"/>
      <name val="Noto Sans CJK SC"/>
    </font>
    <font>
      <sz val="10"/>
      <name val="Noto Sans CJK SC"/>
    </font>
    <font>
      <sz val="10"/>
      <name val="游ゴシック"/>
      <family val="3"/>
      <charset val="128"/>
    </font>
    <font>
      <sz val="10"/>
      <name val="Noto Sans CJK SC"/>
    </font>
    <font>
      <sz val="11"/>
      <name val="Noto Sans CJK SC"/>
    </font>
    <font>
      <sz val="10"/>
      <name val="Noto Sans CJK SC"/>
    </font>
    <font>
      <sz val="11"/>
      <name val="Noto Sans CJK SC"/>
    </font>
    <font>
      <sz val="10"/>
      <color rgb="FF000000"/>
      <name val="Noto Sans CJK SC"/>
    </font>
    <font>
      <sz val="10"/>
      <color rgb="FF000000"/>
      <name val="游ゴシック"/>
      <family val="3"/>
      <charset val="128"/>
    </font>
    <font>
      <sz val="11"/>
      <name val="游ゴシック"/>
      <family val="3"/>
      <charset val="128"/>
    </font>
    <font>
      <b/>
      <sz val="10"/>
      <name val="Noto Sans CJK SC"/>
    </font>
    <font>
      <sz val="10"/>
      <color theme="1"/>
      <name val="Noto Sans CJK SC"/>
    </font>
    <font>
      <sz val="10"/>
      <color theme="1"/>
      <name val="游ゴシック"/>
      <family val="3"/>
      <charset val="128"/>
    </font>
    <font>
      <sz val="6"/>
      <name val="ＭＳ Ｐゴシック"/>
      <family val="3"/>
      <charset val="128"/>
    </font>
    <font>
      <sz val="10"/>
      <name val="Arial"/>
      <family val="2"/>
    </font>
    <font>
      <sz val="10"/>
      <name val="ＭＳ ゴシック"/>
      <family val="3"/>
    </font>
    <font>
      <sz val="10"/>
      <name val="ＭＳ ゴシック"/>
      <family val="3"/>
      <charset val="128"/>
    </font>
    <font>
      <sz val="10"/>
      <name val="Noto Sans CJK SC"/>
      <family val="3"/>
      <charset val="128"/>
    </font>
  </fonts>
  <fills count="12">
    <fill>
      <patternFill patternType="none"/>
    </fill>
    <fill>
      <patternFill patternType="gray125"/>
    </fill>
    <fill>
      <patternFill patternType="solid">
        <fgColor rgb="FF4472C4"/>
      </patternFill>
    </fill>
    <fill>
      <patternFill patternType="solid">
        <fgColor rgb="FFD9E1F2"/>
      </patternFill>
    </fill>
    <fill>
      <patternFill patternType="solid">
        <fgColor rgb="FF305496"/>
      </patternFill>
    </fill>
    <fill>
      <patternFill patternType="solid">
        <fgColor theme="4" tint="-0.249977111117893"/>
        <bgColor indexed="65"/>
      </patternFill>
    </fill>
    <fill>
      <patternFill patternType="solid">
        <fgColor rgb="FFFCE4E4"/>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
      <patternFill patternType="solid">
        <fgColor rgb="FFD9EAD3"/>
      </patternFill>
    </fill>
  </fills>
  <borders count="13">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101">
    <xf numFmtId="0" fontId="0" fillId="0" borderId="0" xfId="0"/>
    <xf numFmtId="0" fontId="2" fillId="0" borderId="0" xfId="0" applyFont="1" applyAlignment="1">
      <alignment vertical="top" wrapText="1"/>
    </xf>
    <xf numFmtId="0" fontId="3" fillId="0" borderId="0" xfId="0" applyFont="1"/>
    <xf numFmtId="0" fontId="0" fillId="0" borderId="2" xfId="0" applyBorder="1"/>
    <xf numFmtId="0" fontId="2" fillId="0" borderId="0" xfId="0" applyFont="1"/>
    <xf numFmtId="0" fontId="4"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wrapText="1"/>
    </xf>
    <xf numFmtId="0" fontId="6" fillId="0" borderId="0" xfId="0" applyFont="1"/>
    <xf numFmtId="0" fontId="2" fillId="0" borderId="0" xfId="0" applyFont="1" applyAlignment="1">
      <alignment wrapText="1"/>
    </xf>
    <xf numFmtId="0" fontId="3" fillId="3" borderId="2" xfId="0" applyFont="1" applyFill="1" applyBorder="1" applyAlignment="1">
      <alignment horizontal="left" vertical="center"/>
    </xf>
    <xf numFmtId="0" fontId="4" fillId="4"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9" fillId="5" borderId="6" xfId="0" applyFont="1" applyFill="1" applyBorder="1" applyAlignment="1">
      <alignment vertical="center" wrapText="1"/>
    </xf>
    <xf numFmtId="0" fontId="10" fillId="5" borderId="6" xfId="0" applyFont="1" applyFill="1" applyBorder="1" applyAlignment="1">
      <alignmen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left" vertical="center" wrapText="1"/>
    </xf>
    <xf numFmtId="0" fontId="12" fillId="0" borderId="6" xfId="0" applyFont="1" applyBorder="1" applyAlignment="1">
      <alignment horizontal="left" vertical="center" wrapText="1"/>
    </xf>
    <xf numFmtId="0" fontId="13" fillId="0" borderId="6" xfId="0" applyFont="1" applyBorder="1" applyAlignment="1">
      <alignment horizontal="center" vertical="center" wrapText="1"/>
    </xf>
    <xf numFmtId="0" fontId="13" fillId="6" borderId="6"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2" fillId="0" borderId="9" xfId="0" applyFont="1" applyBorder="1" applyAlignment="1">
      <alignment horizontal="center" vertical="center" wrapText="1"/>
    </xf>
    <xf numFmtId="0" fontId="0" fillId="0" borderId="6" xfId="0" applyBorder="1" applyAlignment="1">
      <alignment wrapText="1"/>
    </xf>
    <xf numFmtId="0" fontId="13" fillId="7" borderId="7" xfId="0" applyFont="1" applyFill="1" applyBorder="1" applyAlignment="1">
      <alignment horizontal="center" vertical="center" wrapText="1"/>
    </xf>
    <xf numFmtId="0" fontId="13" fillId="0" borderId="8" xfId="0" applyFont="1" applyBorder="1" applyAlignment="1">
      <alignment horizontal="left" vertical="center" wrapText="1"/>
    </xf>
    <xf numFmtId="0" fontId="14" fillId="8" borderId="6" xfId="0" applyFont="1" applyFill="1" applyBorder="1" applyAlignment="1">
      <alignment horizontal="center"/>
    </xf>
    <xf numFmtId="0" fontId="15" fillId="0" borderId="6" xfId="0" applyFont="1" applyBorder="1" applyAlignment="1">
      <alignment horizontal="left" vertical="center" wrapText="1"/>
    </xf>
    <xf numFmtId="0" fontId="13" fillId="9" borderId="6" xfId="0" applyFont="1" applyFill="1" applyBorder="1" applyAlignment="1">
      <alignment horizontal="center" vertical="center" wrapText="1"/>
    </xf>
    <xf numFmtId="0" fontId="12" fillId="0" borderId="6" xfId="0" applyFont="1" applyBorder="1" applyAlignment="1">
      <alignment horizontal="center" wrapText="1"/>
    </xf>
    <xf numFmtId="0" fontId="13" fillId="0" borderId="6" xfId="0" applyFont="1" applyBorder="1" applyAlignment="1">
      <alignment horizontal="left" wrapText="1"/>
    </xf>
    <xf numFmtId="0" fontId="12" fillId="0" borderId="6" xfId="0" applyFont="1" applyBorder="1" applyAlignment="1">
      <alignment horizontal="left" wrapText="1"/>
    </xf>
    <xf numFmtId="0" fontId="13" fillId="0" borderId="6" xfId="0" applyFont="1" applyBorder="1" applyAlignment="1">
      <alignment horizontal="center" wrapText="1"/>
    </xf>
    <xf numFmtId="0" fontId="12" fillId="0" borderId="9" xfId="0" applyFont="1" applyBorder="1" applyAlignment="1">
      <alignment horizontal="center" wrapText="1"/>
    </xf>
    <xf numFmtId="0" fontId="2" fillId="0" borderId="6" xfId="0" applyFont="1" applyBorder="1" applyAlignment="1">
      <alignment wrapText="1"/>
    </xf>
    <xf numFmtId="0" fontId="16" fillId="8" borderId="6" xfId="0" applyFont="1" applyFill="1" applyBorder="1" applyAlignment="1">
      <alignment horizontal="center"/>
    </xf>
    <xf numFmtId="0" fontId="0" fillId="10" borderId="6" xfId="0" applyFill="1" applyBorder="1" applyAlignment="1">
      <alignment wrapText="1"/>
    </xf>
    <xf numFmtId="0" fontId="0" fillId="0" borderId="6" xfId="0" applyBorder="1" applyAlignment="1">
      <alignment vertical="center" wrapText="1"/>
    </xf>
    <xf numFmtId="0" fontId="2" fillId="0" borderId="6" xfId="0" applyFont="1" applyBorder="1" applyAlignment="1">
      <alignment vertical="center" wrapText="1"/>
    </xf>
    <xf numFmtId="0" fontId="0" fillId="0" borderId="0" xfId="0" applyAlignment="1">
      <alignment vertical="center"/>
    </xf>
    <xf numFmtId="0" fontId="14" fillId="0" borderId="6" xfId="0" applyFont="1" applyBorder="1"/>
    <xf numFmtId="0" fontId="14" fillId="11" borderId="6" xfId="0" applyFont="1" applyFill="1" applyBorder="1"/>
    <xf numFmtId="0" fontId="17" fillId="0" borderId="8" xfId="0" applyFont="1" applyBorder="1" applyAlignment="1">
      <alignment horizontal="left" vertical="center"/>
    </xf>
    <xf numFmtId="0" fontId="18" fillId="0" borderId="8" xfId="0" applyFont="1" applyBorder="1" applyAlignment="1">
      <alignment horizontal="left" vertical="center" wrapText="1"/>
    </xf>
    <xf numFmtId="0" fontId="17" fillId="0" borderId="8" xfId="0" applyFont="1" applyBorder="1" applyAlignment="1">
      <alignment horizontal="left" vertical="center" wrapText="1"/>
    </xf>
    <xf numFmtId="0" fontId="18" fillId="0" borderId="8" xfId="0" applyFont="1" applyBorder="1" applyAlignment="1">
      <alignment horizontal="left" vertical="center"/>
    </xf>
    <xf numFmtId="0" fontId="17" fillId="0" borderId="4" xfId="0" applyFont="1" applyBorder="1" applyAlignment="1">
      <alignment horizontal="left" vertical="center"/>
    </xf>
    <xf numFmtId="0" fontId="17" fillId="0" borderId="4" xfId="0" applyFont="1" applyBorder="1" applyAlignment="1">
      <alignment horizontal="left" vertical="center" wrapText="1"/>
    </xf>
    <xf numFmtId="0" fontId="18" fillId="0" borderId="4" xfId="0" applyFont="1" applyBorder="1" applyAlignment="1">
      <alignment horizontal="left" vertical="center" wrapText="1"/>
    </xf>
    <xf numFmtId="0" fontId="2" fillId="0" borderId="10" xfId="0" applyFont="1" applyBorder="1" applyAlignment="1">
      <alignment wrapText="1"/>
    </xf>
    <xf numFmtId="0" fontId="0" fillId="0" borderId="10" xfId="0" applyBorder="1" applyAlignment="1">
      <alignment wrapText="1"/>
    </xf>
    <xf numFmtId="0" fontId="13" fillId="0" borderId="11" xfId="0" applyFont="1" applyBorder="1" applyAlignment="1">
      <alignment horizontal="left" vertical="center"/>
    </xf>
    <xf numFmtId="0" fontId="13" fillId="0" borderId="11" xfId="0" applyFont="1" applyBorder="1" applyAlignment="1">
      <alignment horizontal="left" vertical="center" wrapText="1"/>
    </xf>
    <xf numFmtId="0" fontId="12" fillId="0" borderId="11" xfId="0" applyFont="1" applyBorder="1" applyAlignment="1">
      <alignment horizontal="left" vertical="center" wrapText="1"/>
    </xf>
    <xf numFmtId="0" fontId="12" fillId="0" borderId="8" xfId="0" applyFont="1" applyBorder="1" applyAlignment="1">
      <alignment horizontal="left" vertical="center"/>
    </xf>
    <xf numFmtId="0" fontId="13" fillId="0" borderId="8" xfId="0" applyFont="1" applyBorder="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8" fillId="0" borderId="0" xfId="0" applyFont="1" applyAlignment="1">
      <alignment horizontal="left" vertical="center"/>
    </xf>
    <xf numFmtId="0" fontId="3" fillId="0" borderId="6" xfId="0" applyFont="1" applyBorder="1" applyAlignment="1">
      <alignment vertical="top" wrapText="1"/>
    </xf>
    <xf numFmtId="0" fontId="14" fillId="0" borderId="6" xfId="0" applyFont="1" applyBorder="1" applyAlignment="1">
      <alignment vertical="top" wrapText="1"/>
    </xf>
    <xf numFmtId="0" fontId="19" fillId="0" borderId="6" xfId="0" applyFont="1" applyBorder="1" applyAlignment="1">
      <alignment vertical="top" wrapText="1"/>
    </xf>
    <xf numFmtId="0" fontId="4" fillId="4" borderId="8" xfId="0" applyFont="1" applyFill="1" applyBorder="1" applyAlignment="1">
      <alignment horizontal="center" vertical="center"/>
    </xf>
    <xf numFmtId="0" fontId="20" fillId="9" borderId="8" xfId="0" applyFont="1" applyFill="1" applyBorder="1" applyAlignment="1">
      <alignment horizontal="center" vertical="center"/>
    </xf>
    <xf numFmtId="0" fontId="17" fillId="0" borderId="8" xfId="0" applyFont="1" applyBorder="1" applyAlignment="1">
      <alignment horizontal="center" vertical="center" wrapText="1"/>
    </xf>
    <xf numFmtId="0" fontId="20" fillId="7" borderId="8" xfId="0" applyFont="1" applyFill="1" applyBorder="1" applyAlignment="1">
      <alignment horizontal="center" vertical="center"/>
    </xf>
    <xf numFmtId="0" fontId="2" fillId="0" borderId="8" xfId="0" applyFont="1" applyBorder="1" applyAlignment="1">
      <alignment wrapText="1"/>
    </xf>
    <xf numFmtId="0" fontId="21" fillId="0" borderId="8" xfId="0" applyFont="1" applyBorder="1" applyAlignment="1">
      <alignment wrapText="1"/>
    </xf>
    <xf numFmtId="0" fontId="0" fillId="0" borderId="8" xfId="0" applyBorder="1" applyAlignment="1">
      <alignment wrapText="1"/>
    </xf>
    <xf numFmtId="0" fontId="22" fillId="0" borderId="8" xfId="0" applyFont="1" applyBorder="1" applyAlignment="1">
      <alignment wrapText="1"/>
    </xf>
    <xf numFmtId="0" fontId="13" fillId="0" borderId="8" xfId="0" applyFont="1" applyBorder="1" applyAlignment="1">
      <alignment horizontal="center" vertical="center" wrapText="1"/>
    </xf>
    <xf numFmtId="0" fontId="12" fillId="0" borderId="8" xfId="0" applyFont="1" applyBorder="1" applyAlignment="1">
      <alignment horizontal="left" vertical="center" wrapText="1"/>
    </xf>
    <xf numFmtId="0" fontId="13" fillId="7" borderId="8"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12" fillId="0" borderId="8" xfId="0" applyFont="1" applyBorder="1" applyAlignment="1">
      <alignment horizontal="center" vertical="center"/>
    </xf>
    <xf numFmtId="0" fontId="13" fillId="7" borderId="8" xfId="0" applyFont="1" applyFill="1" applyBorder="1" applyAlignment="1">
      <alignment horizontal="left" vertical="center"/>
    </xf>
    <xf numFmtId="0" fontId="5" fillId="0" borderId="6" xfId="0" applyFont="1" applyBorder="1"/>
    <xf numFmtId="0" fontId="0" fillId="0" borderId="6" xfId="0" applyBorder="1"/>
    <xf numFmtId="0" fontId="15" fillId="0" borderId="8" xfId="0" applyFont="1" applyBorder="1" applyAlignment="1">
      <alignment horizontal="left" vertical="center" wrapText="1"/>
    </xf>
    <xf numFmtId="0" fontId="26" fillId="6" borderId="6" xfId="0" applyFont="1" applyFill="1" applyBorder="1" applyAlignment="1">
      <alignment horizontal="center" vertical="center" wrapText="1"/>
    </xf>
    <xf numFmtId="0" fontId="27" fillId="0" borderId="6" xfId="0" applyFont="1" applyBorder="1" applyAlignment="1">
      <alignment horizontal="center" wrapText="1"/>
    </xf>
    <xf numFmtId="0" fontId="7" fillId="0" borderId="0" xfId="0" applyFont="1" applyAlignment="1">
      <alignment horizontal="center" vertical="center" wrapText="1"/>
    </xf>
    <xf numFmtId="0" fontId="0" fillId="0" borderId="0" xfId="0"/>
    <xf numFmtId="0" fontId="0" fillId="0" borderId="2" xfId="0" applyBorder="1"/>
    <xf numFmtId="0" fontId="0" fillId="0" borderId="3" xfId="0" applyBorder="1"/>
    <xf numFmtId="0" fontId="3" fillId="3" borderId="2" xfId="0" applyFont="1" applyFill="1" applyBorder="1" applyAlignment="1">
      <alignment horizontal="left" vertical="center" wrapText="1"/>
    </xf>
    <xf numFmtId="0" fontId="2" fillId="0" borderId="0" xfId="0" applyFont="1" applyAlignment="1">
      <alignment vertical="top" wrapText="1"/>
    </xf>
    <xf numFmtId="0" fontId="1" fillId="0" borderId="0" xfId="0" applyFont="1"/>
    <xf numFmtId="0" fontId="3" fillId="0" borderId="0" xfId="0" applyFont="1"/>
    <xf numFmtId="0" fontId="17" fillId="0" borderId="8" xfId="0" applyFont="1" applyBorder="1" applyAlignment="1">
      <alignment horizontal="center" vertical="center"/>
    </xf>
    <xf numFmtId="0" fontId="0" fillId="0" borderId="11" xfId="0" applyBorder="1"/>
    <xf numFmtId="0" fontId="0" fillId="0" borderId="12" xfId="0" applyBorder="1"/>
    <xf numFmtId="0" fontId="18"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workbookViewId="0">
      <selection sqref="A1:F1"/>
    </sheetView>
  </sheetViews>
  <sheetFormatPr defaultColWidth="8.5" defaultRowHeight="13.5"/>
  <cols>
    <col min="1" max="1" width="16" customWidth="1"/>
    <col min="2" max="2" width="22" customWidth="1"/>
    <col min="3" max="3" width="30" customWidth="1"/>
    <col min="4" max="4" width="14" customWidth="1"/>
    <col min="5" max="5" width="20" customWidth="1"/>
    <col min="6" max="6" width="40" customWidth="1"/>
  </cols>
  <sheetData>
    <row r="1" spans="1:6" ht="17.25" customHeight="1">
      <c r="A1" s="95" t="s">
        <v>0</v>
      </c>
      <c r="B1" s="90"/>
      <c r="C1" s="90"/>
      <c r="D1" s="90"/>
      <c r="E1" s="90"/>
      <c r="F1" s="90"/>
    </row>
    <row r="2" spans="1:6" ht="14.25" customHeight="1">
      <c r="A2" s="4" t="s">
        <v>1</v>
      </c>
    </row>
    <row r="4" spans="1:6" ht="15" customHeight="1">
      <c r="A4" s="2" t="s">
        <v>2</v>
      </c>
    </row>
    <row r="5" spans="1:6" ht="15" customHeight="1">
      <c r="A5" s="5" t="s">
        <v>3</v>
      </c>
      <c r="B5" s="5" t="s">
        <v>4</v>
      </c>
      <c r="C5" s="5" t="s">
        <v>5</v>
      </c>
      <c r="D5" s="5" t="s">
        <v>6</v>
      </c>
      <c r="E5" s="5" t="s">
        <v>7</v>
      </c>
    </row>
    <row r="6" spans="1:6" ht="14.25" customHeight="1">
      <c r="A6" s="6" t="s">
        <v>8</v>
      </c>
      <c r="B6" s="7" t="s">
        <v>9</v>
      </c>
      <c r="C6" s="7" t="s">
        <v>10</v>
      </c>
      <c r="D6" s="6" t="s">
        <v>11</v>
      </c>
      <c r="E6" s="7" t="s">
        <v>12</v>
      </c>
    </row>
    <row r="7" spans="1:6" ht="14.25" customHeight="1">
      <c r="A7" s="6" t="s">
        <v>13</v>
      </c>
      <c r="B7" s="7" t="s">
        <v>14</v>
      </c>
      <c r="C7" s="7" t="s">
        <v>10</v>
      </c>
      <c r="D7" s="6" t="s">
        <v>15</v>
      </c>
      <c r="E7" s="7" t="s">
        <v>12</v>
      </c>
    </row>
    <row r="8" spans="1:6" ht="14.25" customHeight="1">
      <c r="A8" s="6" t="s">
        <v>16</v>
      </c>
      <c r="B8" s="7" t="s">
        <v>17</v>
      </c>
      <c r="C8" s="7" t="s">
        <v>10</v>
      </c>
      <c r="D8" s="6" t="s">
        <v>18</v>
      </c>
      <c r="E8" s="7" t="s">
        <v>12</v>
      </c>
    </row>
    <row r="9" spans="1:6" ht="14.25" customHeight="1">
      <c r="A9" s="6" t="s">
        <v>19</v>
      </c>
      <c r="B9" s="7" t="s">
        <v>20</v>
      </c>
      <c r="C9" s="7" t="s">
        <v>10</v>
      </c>
      <c r="D9" s="6" t="s">
        <v>21</v>
      </c>
      <c r="E9" s="7" t="s">
        <v>12</v>
      </c>
    </row>
    <row r="10" spans="1:6" ht="14.25" customHeight="1">
      <c r="A10" s="6" t="s">
        <v>22</v>
      </c>
      <c r="B10" s="7" t="s">
        <v>23</v>
      </c>
      <c r="C10" s="7" t="s">
        <v>10</v>
      </c>
      <c r="D10" s="6" t="s">
        <v>24</v>
      </c>
      <c r="E10" s="7" t="s">
        <v>12</v>
      </c>
    </row>
    <row r="11" spans="1:6" ht="27" customHeight="1">
      <c r="A11" s="6" t="s">
        <v>25</v>
      </c>
      <c r="B11" s="7" t="s">
        <v>26</v>
      </c>
      <c r="C11" s="7" t="s">
        <v>10</v>
      </c>
      <c r="D11" s="6" t="s">
        <v>27</v>
      </c>
      <c r="E11" s="7" t="s">
        <v>12</v>
      </c>
    </row>
    <row r="12" spans="1:6" ht="14.25" customHeight="1">
      <c r="A12" s="6" t="s">
        <v>28</v>
      </c>
      <c r="B12" s="7" t="s">
        <v>29</v>
      </c>
      <c r="C12" s="7" t="s">
        <v>10</v>
      </c>
      <c r="D12" s="6" t="s">
        <v>11</v>
      </c>
      <c r="E12" s="7" t="s">
        <v>30</v>
      </c>
    </row>
    <row r="13" spans="1:6" ht="27" customHeight="1">
      <c r="A13" s="6" t="s">
        <v>31</v>
      </c>
      <c r="B13" s="7" t="s">
        <v>32</v>
      </c>
      <c r="C13" s="7" t="s">
        <v>10</v>
      </c>
      <c r="D13" s="6" t="s">
        <v>11</v>
      </c>
      <c r="E13" s="7" t="s">
        <v>12</v>
      </c>
    </row>
    <row r="14" spans="1:6" ht="27" customHeight="1">
      <c r="A14" s="6" t="s">
        <v>19</v>
      </c>
      <c r="B14" s="7" t="s">
        <v>33</v>
      </c>
      <c r="C14" s="7" t="s">
        <v>34</v>
      </c>
      <c r="D14" s="6" t="s">
        <v>27</v>
      </c>
      <c r="E14" s="7" t="s">
        <v>35</v>
      </c>
    </row>
    <row r="15" spans="1:6" ht="15" customHeight="1">
      <c r="A15" s="8" t="s">
        <v>36</v>
      </c>
    </row>
    <row r="16" spans="1:6" ht="409.5" customHeight="1">
      <c r="A16" s="9" t="s">
        <v>37</v>
      </c>
    </row>
    <row r="18" spans="1:6" ht="15" customHeight="1">
      <c r="A18" s="2" t="s">
        <v>38</v>
      </c>
    </row>
    <row r="19" spans="1:6" ht="14.25" customHeight="1">
      <c r="A19" s="4" t="s">
        <v>39</v>
      </c>
      <c r="B19" t="s">
        <v>40</v>
      </c>
    </row>
    <row r="20" spans="1:6" ht="14.25" customHeight="1">
      <c r="A20" s="4" t="s">
        <v>41</v>
      </c>
      <c r="B20" t="s">
        <v>42</v>
      </c>
    </row>
    <row r="21" spans="1:6" ht="14.25" customHeight="1">
      <c r="A21" s="4" t="s">
        <v>43</v>
      </c>
      <c r="B21" t="s">
        <v>44</v>
      </c>
    </row>
    <row r="22" spans="1:6" ht="14.25" customHeight="1">
      <c r="A22" s="4" t="s">
        <v>45</v>
      </c>
      <c r="B22" t="s">
        <v>46</v>
      </c>
    </row>
    <row r="23" spans="1:6" ht="14.25" customHeight="1">
      <c r="A23" s="4" t="s">
        <v>47</v>
      </c>
      <c r="B23" t="s">
        <v>48</v>
      </c>
    </row>
    <row r="25" spans="1:6" ht="15" customHeight="1">
      <c r="A25" s="96" t="s">
        <v>49</v>
      </c>
      <c r="B25" s="90"/>
      <c r="C25" s="90"/>
      <c r="D25" s="90"/>
      <c r="E25" s="90"/>
      <c r="F25" s="90"/>
    </row>
    <row r="26" spans="1:6" ht="16.5" customHeight="1">
      <c r="A26" s="94" t="s">
        <v>50</v>
      </c>
      <c r="B26" s="90"/>
      <c r="C26" s="90"/>
      <c r="D26" s="90"/>
      <c r="E26" s="90"/>
      <c r="F26" s="90"/>
    </row>
    <row r="27" spans="1:6" ht="48" customHeight="1">
      <c r="A27" s="94" t="s">
        <v>51</v>
      </c>
      <c r="B27" s="90"/>
      <c r="C27" s="90"/>
      <c r="D27" s="90"/>
      <c r="E27" s="90"/>
      <c r="F27" s="90"/>
    </row>
    <row r="28" spans="1:6" ht="16.5" customHeight="1">
      <c r="A28" s="94" t="s">
        <v>52</v>
      </c>
      <c r="B28" s="90"/>
      <c r="C28" s="90"/>
      <c r="D28" s="90"/>
      <c r="E28" s="90"/>
      <c r="F28" s="90"/>
    </row>
    <row r="29" spans="1:6" ht="175.5" customHeight="1">
      <c r="A29" s="1" t="s">
        <v>53</v>
      </c>
    </row>
    <row r="31" spans="1:6" ht="15" customHeight="1">
      <c r="A31" s="8" t="s">
        <v>54</v>
      </c>
    </row>
    <row r="32" spans="1:6" ht="135" customHeight="1">
      <c r="A32" s="1" t="s">
        <v>55</v>
      </c>
    </row>
    <row r="33" spans="1:1" ht="121.5" customHeight="1">
      <c r="A33" s="1" t="s">
        <v>56</v>
      </c>
    </row>
    <row r="34" spans="1:1" ht="202.5" customHeight="1">
      <c r="A34" s="1" t="s">
        <v>57</v>
      </c>
    </row>
    <row r="35" spans="1:1" ht="135" customHeight="1">
      <c r="A35" s="1" t="s">
        <v>58</v>
      </c>
    </row>
    <row r="36" spans="1:1" ht="67.5" customHeight="1">
      <c r="A36" s="1" t="s">
        <v>59</v>
      </c>
    </row>
    <row r="37" spans="1:1" ht="108" customHeight="1">
      <c r="A37" s="1" t="s">
        <v>60</v>
      </c>
    </row>
    <row r="39" spans="1:1" ht="14.25" customHeight="1">
      <c r="A39" s="4" t="s">
        <v>61</v>
      </c>
    </row>
    <row r="40" spans="1:1" ht="14.25" customHeight="1">
      <c r="A40" s="4" t="s">
        <v>62</v>
      </c>
    </row>
    <row r="41" spans="1:1" ht="14.25" customHeight="1">
      <c r="A41" s="4" t="s">
        <v>63</v>
      </c>
    </row>
    <row r="42" spans="1:1" ht="14.25" customHeight="1">
      <c r="A42" s="4" t="s">
        <v>64</v>
      </c>
    </row>
    <row r="43" spans="1:1" ht="14.25" customHeight="1">
      <c r="A43" s="4" t="s">
        <v>65</v>
      </c>
    </row>
    <row r="45" spans="1:1" ht="14.25" customHeight="1">
      <c r="A45" s="4" t="s">
        <v>66</v>
      </c>
    </row>
    <row r="46" spans="1:1" ht="14.25" customHeight="1">
      <c r="A46" t="s">
        <v>67</v>
      </c>
    </row>
    <row r="47" spans="1:1" ht="14.25" customHeight="1">
      <c r="A47" s="4" t="s">
        <v>68</v>
      </c>
    </row>
    <row r="48" spans="1:1" ht="14.25" customHeight="1">
      <c r="A48" t="s">
        <v>69</v>
      </c>
    </row>
  </sheetData>
  <mergeCells count="5">
    <mergeCell ref="A28:F28"/>
    <mergeCell ref="A1:F1"/>
    <mergeCell ref="A27:F27"/>
    <mergeCell ref="A26:F26"/>
    <mergeCell ref="A25:F25"/>
  </mergeCells>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2"/>
  <sheetViews>
    <sheetView showGridLines="0" tabSelected="1" workbookViewId="0">
      <selection activeCell="I12" sqref="I12"/>
    </sheetView>
  </sheetViews>
  <sheetFormatPr defaultColWidth="8.5" defaultRowHeight="13.5"/>
  <cols>
    <col min="1" max="1" width="8.875" customWidth="1"/>
    <col min="2" max="2" width="13.375" customWidth="1"/>
    <col min="3" max="3" width="13.25" customWidth="1"/>
    <col min="4" max="4" width="16" customWidth="1"/>
    <col min="5" max="5" width="20" customWidth="1"/>
    <col min="6" max="6" width="22" customWidth="1"/>
    <col min="7" max="7" width="48.5" customWidth="1"/>
    <col min="8" max="8" width="27.75" customWidth="1"/>
    <col min="9" max="9" width="21.5" customWidth="1"/>
    <col min="10" max="22" width="10" customWidth="1"/>
    <col min="23" max="23" width="12" customWidth="1"/>
    <col min="24" max="24" width="14" customWidth="1"/>
    <col min="25" max="25" width="12" customWidth="1"/>
    <col min="26" max="27" width="10" customWidth="1"/>
    <col min="28" max="28" width="12" customWidth="1"/>
    <col min="29" max="29" width="22" customWidth="1"/>
    <col min="30" max="30" width="17.375" customWidth="1"/>
    <col min="31" max="31" width="16" customWidth="1"/>
    <col min="32" max="33" width="22" customWidth="1"/>
    <col min="34" max="34" width="18.625" customWidth="1"/>
    <col min="35" max="35" width="19.25" customWidth="1"/>
    <col min="36" max="49" width="16" customWidth="1"/>
    <col min="55" max="58" width="14" customWidth="1"/>
    <col min="59" max="59" width="13" customWidth="1"/>
  </cols>
  <sheetData>
    <row r="1" spans="1:59" ht="22.5" customHeight="1">
      <c r="A1" s="89" t="s">
        <v>70</v>
      </c>
      <c r="B1" s="90"/>
      <c r="C1" s="90"/>
      <c r="D1" s="90"/>
      <c r="E1" s="90"/>
      <c r="F1" s="90"/>
      <c r="G1" s="90"/>
    </row>
    <row r="2" spans="1:59" ht="27" customHeight="1">
      <c r="A2" s="93" t="s">
        <v>71</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2"/>
      <c r="AL2" s="92"/>
      <c r="AM2" s="92"/>
      <c r="AN2" s="92"/>
      <c r="AO2" s="92"/>
      <c r="AP2" s="92"/>
      <c r="AQ2" s="92"/>
      <c r="AR2" s="92"/>
      <c r="AS2" s="92"/>
      <c r="AT2" s="92"/>
      <c r="AU2" s="92"/>
      <c r="AV2" s="92"/>
      <c r="AW2" s="92"/>
      <c r="AX2" s="3"/>
      <c r="AY2" s="10" t="s">
        <v>72</v>
      </c>
      <c r="AZ2" s="10"/>
      <c r="BA2" s="10" t="s">
        <v>73</v>
      </c>
      <c r="BB2" s="10"/>
      <c r="BG2" s="4" t="s">
        <v>74</v>
      </c>
    </row>
    <row r="3" spans="1:59" ht="36.75" customHeight="1">
      <c r="A3" s="11" t="s">
        <v>75</v>
      </c>
      <c r="B3" s="11" t="s">
        <v>76</v>
      </c>
      <c r="C3" s="11" t="s">
        <v>3</v>
      </c>
      <c r="D3" s="11" t="s">
        <v>4</v>
      </c>
      <c r="E3" s="12" t="s">
        <v>77</v>
      </c>
      <c r="F3" s="12" t="s">
        <v>78</v>
      </c>
      <c r="G3" s="11" t="s">
        <v>79</v>
      </c>
      <c r="H3" s="11" t="s">
        <v>80</v>
      </c>
      <c r="I3" s="11" t="s">
        <v>81</v>
      </c>
      <c r="J3" s="11" t="s">
        <v>82</v>
      </c>
      <c r="K3" s="11" t="s">
        <v>83</v>
      </c>
      <c r="L3" s="11" t="s">
        <v>84</v>
      </c>
      <c r="M3" s="11" t="s">
        <v>85</v>
      </c>
      <c r="N3" s="11" t="s">
        <v>86</v>
      </c>
      <c r="O3" s="11" t="s">
        <v>87</v>
      </c>
      <c r="P3" s="11" t="s">
        <v>88</v>
      </c>
      <c r="Q3" s="11" t="s">
        <v>89</v>
      </c>
      <c r="R3" s="11" t="s">
        <v>90</v>
      </c>
      <c r="S3" s="11" t="s">
        <v>91</v>
      </c>
      <c r="T3" s="12" t="s">
        <v>92</v>
      </c>
      <c r="U3" s="12" t="s">
        <v>93</v>
      </c>
      <c r="V3" s="11" t="s">
        <v>94</v>
      </c>
      <c r="W3" s="11" t="s">
        <v>95</v>
      </c>
      <c r="X3" s="11" t="s">
        <v>96</v>
      </c>
      <c r="Y3" s="12" t="s">
        <v>97</v>
      </c>
      <c r="Z3" s="12" t="s">
        <v>98</v>
      </c>
      <c r="AA3" s="11" t="s">
        <v>99</v>
      </c>
      <c r="AB3" s="12" t="s">
        <v>100</v>
      </c>
      <c r="AC3" s="11" t="s">
        <v>101</v>
      </c>
      <c r="AD3" s="13" t="s">
        <v>102</v>
      </c>
      <c r="AE3" s="14" t="s">
        <v>103</v>
      </c>
      <c r="AF3" s="15" t="s">
        <v>104</v>
      </c>
      <c r="AG3" s="15" t="s">
        <v>105</v>
      </c>
      <c r="AH3" s="15" t="s">
        <v>106</v>
      </c>
      <c r="AI3" s="15" t="s">
        <v>107</v>
      </c>
      <c r="AJ3" s="15" t="s">
        <v>108</v>
      </c>
      <c r="AK3" s="15" t="s">
        <v>109</v>
      </c>
      <c r="AL3" s="15" t="s">
        <v>110</v>
      </c>
      <c r="AM3" s="15" t="s">
        <v>111</v>
      </c>
      <c r="AN3" s="15" t="s">
        <v>112</v>
      </c>
      <c r="AO3" s="15" t="s">
        <v>113</v>
      </c>
      <c r="AP3" s="15" t="s">
        <v>114</v>
      </c>
      <c r="AQ3" s="15" t="s">
        <v>115</v>
      </c>
      <c r="AR3" s="15" t="s">
        <v>116</v>
      </c>
      <c r="AS3" s="15" t="s">
        <v>117</v>
      </c>
      <c r="AT3" s="15" t="s">
        <v>118</v>
      </c>
      <c r="AU3" s="15" t="s">
        <v>119</v>
      </c>
      <c r="AV3" s="16" t="s">
        <v>120</v>
      </c>
      <c r="AW3" s="17" t="s">
        <v>121</v>
      </c>
      <c r="AX3" s="17" t="s">
        <v>122</v>
      </c>
      <c r="AY3" s="16" t="s">
        <v>5</v>
      </c>
      <c r="AZ3" s="18" t="s">
        <v>123</v>
      </c>
      <c r="BA3" s="16" t="s">
        <v>124</v>
      </c>
      <c r="BB3" s="16" t="s">
        <v>125</v>
      </c>
      <c r="BC3" s="19" t="s">
        <v>126</v>
      </c>
      <c r="BD3" s="19" t="s">
        <v>127</v>
      </c>
      <c r="BE3" s="19" t="s">
        <v>128</v>
      </c>
      <c r="BF3" s="19" t="s">
        <v>129</v>
      </c>
      <c r="BG3" s="19" t="s">
        <v>130</v>
      </c>
    </row>
    <row r="4" spans="1:59" ht="30" customHeight="1">
      <c r="A4" s="20" t="s">
        <v>512</v>
      </c>
      <c r="B4" s="21"/>
      <c r="C4" s="21" t="s">
        <v>8</v>
      </c>
      <c r="D4" s="22" t="s">
        <v>9</v>
      </c>
      <c r="E4" s="23" t="s">
        <v>131</v>
      </c>
      <c r="F4" s="22" t="s">
        <v>132</v>
      </c>
      <c r="G4" s="32" t="s">
        <v>133</v>
      </c>
      <c r="H4" s="23" t="s">
        <v>134</v>
      </c>
      <c r="I4" s="23" t="s">
        <v>514</v>
      </c>
      <c r="J4" s="24">
        <v>23</v>
      </c>
      <c r="K4" s="21" t="s">
        <v>135</v>
      </c>
      <c r="L4" s="21" t="s">
        <v>136</v>
      </c>
      <c r="M4" s="24">
        <v>27</v>
      </c>
      <c r="N4" s="24">
        <v>48</v>
      </c>
      <c r="O4" s="24">
        <v>21</v>
      </c>
      <c r="P4" s="21" t="s">
        <v>137</v>
      </c>
      <c r="Q4" s="21" t="s">
        <v>138</v>
      </c>
      <c r="R4" s="24">
        <v>29</v>
      </c>
      <c r="S4" s="24">
        <v>52</v>
      </c>
      <c r="T4" s="21" t="s">
        <v>139</v>
      </c>
      <c r="U4" s="24">
        <v>2000</v>
      </c>
      <c r="V4" s="24">
        <v>19</v>
      </c>
      <c r="W4" s="25" t="s">
        <v>140</v>
      </c>
      <c r="X4" s="25" t="s">
        <v>140</v>
      </c>
      <c r="Y4" s="25" t="s">
        <v>140</v>
      </c>
      <c r="Z4" s="25" t="s">
        <v>141</v>
      </c>
      <c r="AA4" s="26" t="s">
        <v>10</v>
      </c>
      <c r="AB4" s="25" t="s">
        <v>140</v>
      </c>
      <c r="AC4" s="25" t="s">
        <v>140</v>
      </c>
      <c r="AD4" s="27"/>
      <c r="AE4" s="28">
        <v>1</v>
      </c>
      <c r="AF4" s="28"/>
      <c r="AG4" s="28"/>
      <c r="AH4" s="28"/>
      <c r="AI4" s="28" t="s">
        <v>142</v>
      </c>
      <c r="AJ4" s="28"/>
      <c r="AK4" s="28"/>
      <c r="AL4" s="28"/>
      <c r="AM4" s="28"/>
      <c r="AN4" s="28"/>
      <c r="AO4" s="28"/>
      <c r="AP4" s="28"/>
      <c r="AQ4" s="28"/>
      <c r="AR4" s="28"/>
      <c r="AS4" s="28"/>
      <c r="AT4" s="28"/>
      <c r="AU4" s="28"/>
      <c r="AV4" s="29" t="s">
        <v>10</v>
      </c>
      <c r="AW4" s="30" t="s">
        <v>143</v>
      </c>
      <c r="AX4" s="30" t="s">
        <v>144</v>
      </c>
      <c r="AY4" s="29" t="s">
        <v>10</v>
      </c>
      <c r="AZ4" s="29"/>
      <c r="BA4" s="29">
        <v>1</v>
      </c>
      <c r="BB4" s="29">
        <v>19</v>
      </c>
      <c r="BC4" s="31" t="s">
        <v>145</v>
      </c>
      <c r="BD4" s="31" t="s">
        <v>146</v>
      </c>
      <c r="BE4" s="31"/>
      <c r="BF4" s="31"/>
      <c r="BG4" s="31" t="s">
        <v>147</v>
      </c>
    </row>
    <row r="5" spans="1:59" ht="30" customHeight="1">
      <c r="A5" s="20" t="s">
        <v>512</v>
      </c>
      <c r="B5" s="24"/>
      <c r="C5" s="21" t="s">
        <v>13</v>
      </c>
      <c r="D5" s="22" t="s">
        <v>14</v>
      </c>
      <c r="E5" s="23" t="s">
        <v>148</v>
      </c>
      <c r="F5" s="22" t="s">
        <v>149</v>
      </c>
      <c r="G5" s="32" t="s">
        <v>150</v>
      </c>
      <c r="H5" s="23" t="s">
        <v>151</v>
      </c>
      <c r="I5" s="23" t="s">
        <v>514</v>
      </c>
      <c r="J5" s="24">
        <v>24</v>
      </c>
      <c r="K5" s="21" t="s">
        <v>152</v>
      </c>
      <c r="L5" s="21" t="s">
        <v>135</v>
      </c>
      <c r="M5" s="24">
        <v>37</v>
      </c>
      <c r="N5" s="24">
        <v>58</v>
      </c>
      <c r="O5" s="24">
        <v>20</v>
      </c>
      <c r="P5" s="21" t="s">
        <v>138</v>
      </c>
      <c r="Q5" s="21" t="s">
        <v>153</v>
      </c>
      <c r="R5" s="24">
        <v>37</v>
      </c>
      <c r="S5" s="24">
        <v>60</v>
      </c>
      <c r="T5" s="21" t="s">
        <v>139</v>
      </c>
      <c r="U5" s="24">
        <v>5000</v>
      </c>
      <c r="V5" s="24">
        <v>20</v>
      </c>
      <c r="W5" s="26" t="s">
        <v>10</v>
      </c>
      <c r="X5" s="26" t="s">
        <v>10</v>
      </c>
      <c r="Y5" s="26" t="s">
        <v>10</v>
      </c>
      <c r="Z5" s="26" t="s">
        <v>154</v>
      </c>
      <c r="AA5" s="26" t="s">
        <v>10</v>
      </c>
      <c r="AB5" s="25" t="s">
        <v>140</v>
      </c>
      <c r="AC5" s="26" t="s">
        <v>10</v>
      </c>
      <c r="AD5" s="27" t="s">
        <v>155</v>
      </c>
      <c r="AE5" s="28">
        <v>1</v>
      </c>
      <c r="AF5" s="28"/>
      <c r="AG5" s="28"/>
      <c r="AH5" s="28"/>
      <c r="AI5" s="28" t="s">
        <v>142</v>
      </c>
      <c r="AJ5" s="28"/>
      <c r="AK5" s="28"/>
      <c r="AL5" s="28"/>
      <c r="AM5" s="28"/>
      <c r="AN5" s="28"/>
      <c r="AO5" s="28"/>
      <c r="AP5" s="28"/>
      <c r="AQ5" s="28"/>
      <c r="AR5" s="28"/>
      <c r="AS5" s="28"/>
      <c r="AT5" s="28"/>
      <c r="AU5" s="28"/>
      <c r="AV5" s="29" t="s">
        <v>10</v>
      </c>
      <c r="AW5" s="30" t="s">
        <v>143</v>
      </c>
      <c r="AX5" s="30" t="s">
        <v>144</v>
      </c>
      <c r="AY5" s="29" t="s">
        <v>10</v>
      </c>
      <c r="AZ5" s="29"/>
      <c r="BA5" s="29">
        <v>1</v>
      </c>
      <c r="BB5" s="29">
        <v>20</v>
      </c>
      <c r="BC5" s="31" t="s">
        <v>145</v>
      </c>
      <c r="BD5" s="31" t="s">
        <v>146</v>
      </c>
      <c r="BE5" s="31"/>
      <c r="BF5" s="31"/>
      <c r="BG5" s="31" t="s">
        <v>147</v>
      </c>
    </row>
    <row r="6" spans="1:59" ht="30" customHeight="1">
      <c r="A6" s="20" t="s">
        <v>512</v>
      </c>
      <c r="B6" s="24"/>
      <c r="C6" s="21" t="s">
        <v>16</v>
      </c>
      <c r="D6" s="22" t="s">
        <v>17</v>
      </c>
      <c r="E6" s="23" t="s">
        <v>156</v>
      </c>
      <c r="F6" s="22" t="s">
        <v>157</v>
      </c>
      <c r="G6" s="22" t="s">
        <v>158</v>
      </c>
      <c r="H6" s="23" t="s">
        <v>159</v>
      </c>
      <c r="I6" s="23" t="s">
        <v>514</v>
      </c>
      <c r="J6" s="24">
        <v>29</v>
      </c>
      <c r="K6" s="21" t="s">
        <v>160</v>
      </c>
      <c r="L6" s="21" t="s">
        <v>161</v>
      </c>
      <c r="M6" s="24">
        <v>37</v>
      </c>
      <c r="N6" s="24">
        <v>47</v>
      </c>
      <c r="O6" s="24">
        <v>26</v>
      </c>
      <c r="P6" s="21" t="s">
        <v>162</v>
      </c>
      <c r="Q6" s="21" t="s">
        <v>163</v>
      </c>
      <c r="R6" s="24">
        <v>37</v>
      </c>
      <c r="S6" s="24">
        <v>48</v>
      </c>
      <c r="T6" s="21" t="s">
        <v>139</v>
      </c>
      <c r="U6" s="24">
        <v>2000</v>
      </c>
      <c r="V6" s="24">
        <v>9</v>
      </c>
      <c r="W6" s="26" t="s">
        <v>10</v>
      </c>
      <c r="X6" s="26" t="s">
        <v>10</v>
      </c>
      <c r="Y6" s="33" t="s">
        <v>164</v>
      </c>
      <c r="Z6" s="26" t="s">
        <v>154</v>
      </c>
      <c r="AA6" s="26" t="s">
        <v>10</v>
      </c>
      <c r="AB6" s="26" t="s">
        <v>10</v>
      </c>
      <c r="AC6" s="26" t="s">
        <v>10</v>
      </c>
      <c r="AD6" s="27" t="s">
        <v>155</v>
      </c>
      <c r="AE6" s="28">
        <v>1</v>
      </c>
      <c r="AF6" s="28"/>
      <c r="AG6" s="28"/>
      <c r="AH6" s="28"/>
      <c r="AI6" s="28" t="s">
        <v>142</v>
      </c>
      <c r="AJ6" s="28"/>
      <c r="AK6" s="28"/>
      <c r="AL6" s="28"/>
      <c r="AM6" s="28"/>
      <c r="AN6" s="28"/>
      <c r="AO6" s="28"/>
      <c r="AP6" s="28"/>
      <c r="AQ6" s="28"/>
      <c r="AR6" s="28"/>
      <c r="AS6" s="28"/>
      <c r="AT6" s="28"/>
      <c r="AU6" s="28"/>
      <c r="AV6" s="29" t="s">
        <v>10</v>
      </c>
      <c r="AW6" s="30" t="s">
        <v>143</v>
      </c>
      <c r="AX6" s="30" t="s">
        <v>144</v>
      </c>
      <c r="AY6" s="29" t="s">
        <v>10</v>
      </c>
      <c r="AZ6" s="29"/>
      <c r="BA6" s="29">
        <v>1</v>
      </c>
      <c r="BB6" s="29">
        <v>9</v>
      </c>
      <c r="BC6" s="31" t="s">
        <v>145</v>
      </c>
      <c r="BD6" s="31" t="s">
        <v>146</v>
      </c>
      <c r="BE6" s="31"/>
      <c r="BF6" s="31"/>
      <c r="BG6" s="31" t="s">
        <v>147</v>
      </c>
    </row>
    <row r="7" spans="1:59" ht="30" customHeight="1">
      <c r="A7" s="20" t="s">
        <v>512</v>
      </c>
      <c r="B7" s="34"/>
      <c r="C7" s="34" t="s">
        <v>19</v>
      </c>
      <c r="D7" s="35" t="s">
        <v>20</v>
      </c>
      <c r="E7" s="36" t="s">
        <v>165</v>
      </c>
      <c r="F7" s="35" t="s">
        <v>166</v>
      </c>
      <c r="G7" s="35" t="s">
        <v>167</v>
      </c>
      <c r="H7" s="36" t="s">
        <v>168</v>
      </c>
      <c r="I7" s="23" t="s">
        <v>514</v>
      </c>
      <c r="J7" s="34">
        <v>22</v>
      </c>
      <c r="K7" s="34" t="s">
        <v>136</v>
      </c>
      <c r="L7" s="34" t="s">
        <v>137</v>
      </c>
      <c r="M7" s="34">
        <v>27</v>
      </c>
      <c r="N7" s="34">
        <v>36</v>
      </c>
      <c r="O7" s="34">
        <v>21</v>
      </c>
      <c r="P7" s="34" t="s">
        <v>137</v>
      </c>
      <c r="Q7" s="34" t="s">
        <v>138</v>
      </c>
      <c r="R7" s="34">
        <v>28</v>
      </c>
      <c r="S7" s="34">
        <v>39</v>
      </c>
      <c r="T7" s="34" t="s">
        <v>139</v>
      </c>
      <c r="U7" s="34">
        <v>4000</v>
      </c>
      <c r="V7" s="34">
        <v>27</v>
      </c>
      <c r="W7" s="37" t="s">
        <v>140</v>
      </c>
      <c r="X7" s="37" t="s">
        <v>10</v>
      </c>
      <c r="Y7" s="37" t="s">
        <v>169</v>
      </c>
      <c r="Z7" s="37" t="s">
        <v>154</v>
      </c>
      <c r="AA7" s="87" t="s">
        <v>513</v>
      </c>
      <c r="AB7" s="88"/>
      <c r="AC7" s="37" t="s">
        <v>140</v>
      </c>
      <c r="AD7" s="38"/>
      <c r="AE7" s="28">
        <v>2</v>
      </c>
      <c r="AF7" s="28" t="s">
        <v>13</v>
      </c>
      <c r="AG7" s="28" t="s">
        <v>148</v>
      </c>
      <c r="AH7" s="39" t="s">
        <v>149</v>
      </c>
      <c r="AI7" s="28" t="s">
        <v>170</v>
      </c>
      <c r="AJ7" s="28" t="s">
        <v>142</v>
      </c>
      <c r="AK7" s="28">
        <v>5000</v>
      </c>
      <c r="AL7" s="28">
        <v>26</v>
      </c>
      <c r="AM7" s="28" t="s">
        <v>162</v>
      </c>
      <c r="AN7" s="28" t="s">
        <v>163</v>
      </c>
      <c r="AO7" s="28">
        <v>41</v>
      </c>
      <c r="AP7" s="28">
        <v>63</v>
      </c>
      <c r="AQ7" s="28">
        <v>22</v>
      </c>
      <c r="AR7" s="28" t="s">
        <v>136</v>
      </c>
      <c r="AS7" s="28" t="s">
        <v>137</v>
      </c>
      <c r="AT7" s="28">
        <v>41</v>
      </c>
      <c r="AU7" s="28">
        <v>63</v>
      </c>
      <c r="AV7" s="29" t="s">
        <v>10</v>
      </c>
      <c r="AW7" s="30" t="s">
        <v>143</v>
      </c>
      <c r="AX7" s="30" t="s">
        <v>144</v>
      </c>
      <c r="AY7" s="29" t="s">
        <v>10</v>
      </c>
      <c r="AZ7" s="29"/>
      <c r="BA7" s="29">
        <v>1</v>
      </c>
      <c r="BB7" s="29">
        <v>27</v>
      </c>
      <c r="BC7" s="31" t="s">
        <v>171</v>
      </c>
      <c r="BD7" s="31" t="s">
        <v>146</v>
      </c>
      <c r="BE7" s="40" t="s">
        <v>172</v>
      </c>
      <c r="BF7" s="31" t="s">
        <v>173</v>
      </c>
      <c r="BG7" s="31" t="s">
        <v>147</v>
      </c>
    </row>
    <row r="8" spans="1:59" ht="30" customHeight="1">
      <c r="A8" s="20" t="s">
        <v>512</v>
      </c>
      <c r="B8" s="24"/>
      <c r="C8" s="21" t="s">
        <v>22</v>
      </c>
      <c r="D8" s="22" t="s">
        <v>23</v>
      </c>
      <c r="E8" s="23" t="s">
        <v>174</v>
      </c>
      <c r="F8" s="22" t="s">
        <v>175</v>
      </c>
      <c r="G8" s="22" t="s">
        <v>176</v>
      </c>
      <c r="H8" s="23" t="s">
        <v>177</v>
      </c>
      <c r="I8" s="23" t="s">
        <v>514</v>
      </c>
      <c r="J8" s="24">
        <v>25</v>
      </c>
      <c r="K8" s="21" t="s">
        <v>163</v>
      </c>
      <c r="L8" s="21" t="s">
        <v>152</v>
      </c>
      <c r="M8" s="24">
        <v>24</v>
      </c>
      <c r="N8" s="24">
        <v>52</v>
      </c>
      <c r="O8" s="24">
        <v>23</v>
      </c>
      <c r="P8" s="21" t="s">
        <v>135</v>
      </c>
      <c r="Q8" s="21" t="s">
        <v>136</v>
      </c>
      <c r="R8" s="24">
        <v>21</v>
      </c>
      <c r="S8" s="24">
        <v>49</v>
      </c>
      <c r="T8" s="21" t="s">
        <v>139</v>
      </c>
      <c r="U8" s="24">
        <v>3000</v>
      </c>
      <c r="V8" s="24">
        <v>25</v>
      </c>
      <c r="W8" s="26" t="s">
        <v>10</v>
      </c>
      <c r="X8" s="26" t="s">
        <v>10</v>
      </c>
      <c r="Y8" s="26" t="s">
        <v>10</v>
      </c>
      <c r="Z8" s="26" t="s">
        <v>154</v>
      </c>
      <c r="AA8" s="26" t="s">
        <v>10</v>
      </c>
      <c r="AB8" s="25" t="s">
        <v>140</v>
      </c>
      <c r="AC8" s="26" t="s">
        <v>10</v>
      </c>
      <c r="AD8" s="27" t="s">
        <v>155</v>
      </c>
      <c r="AE8" s="28">
        <v>1</v>
      </c>
      <c r="AF8" s="41"/>
      <c r="AG8" s="41"/>
      <c r="AH8" s="41"/>
      <c r="AI8" s="28" t="s">
        <v>142</v>
      </c>
      <c r="AJ8" s="41"/>
      <c r="AK8" s="41"/>
      <c r="AL8" s="41"/>
      <c r="AM8" s="41"/>
      <c r="AN8" s="41"/>
      <c r="AO8" s="41"/>
      <c r="AP8" s="41"/>
      <c r="AQ8" s="41"/>
      <c r="AR8" s="41"/>
      <c r="AS8" s="41"/>
      <c r="AT8" s="41"/>
      <c r="AU8" s="41"/>
      <c r="AV8" s="29" t="s">
        <v>10</v>
      </c>
      <c r="AW8" s="30" t="s">
        <v>143</v>
      </c>
      <c r="AX8" s="30" t="s">
        <v>144</v>
      </c>
      <c r="AY8" s="29" t="s">
        <v>10</v>
      </c>
      <c r="AZ8" s="29"/>
      <c r="BA8" s="29">
        <v>1</v>
      </c>
      <c r="BB8" s="29">
        <v>25</v>
      </c>
      <c r="BC8" s="31" t="s">
        <v>145</v>
      </c>
      <c r="BD8" s="31" t="s">
        <v>146</v>
      </c>
      <c r="BE8" s="31"/>
      <c r="BF8" s="31"/>
      <c r="BG8" s="31" t="s">
        <v>147</v>
      </c>
    </row>
    <row r="9" spans="1:59" ht="30" customHeight="1">
      <c r="A9" s="20" t="s">
        <v>512</v>
      </c>
      <c r="B9" s="21"/>
      <c r="C9" s="21" t="s">
        <v>25</v>
      </c>
      <c r="D9" s="22" t="s">
        <v>26</v>
      </c>
      <c r="E9" s="23" t="s">
        <v>178</v>
      </c>
      <c r="F9" s="22" t="s">
        <v>179</v>
      </c>
      <c r="G9" s="32" t="s">
        <v>180</v>
      </c>
      <c r="H9" s="23" t="s">
        <v>181</v>
      </c>
      <c r="I9" s="23" t="s">
        <v>514</v>
      </c>
      <c r="J9" s="24">
        <v>23</v>
      </c>
      <c r="K9" s="21" t="s">
        <v>135</v>
      </c>
      <c r="L9" s="21" t="s">
        <v>136</v>
      </c>
      <c r="M9" s="24">
        <v>37</v>
      </c>
      <c r="N9" s="24">
        <v>58</v>
      </c>
      <c r="O9" s="24">
        <v>23</v>
      </c>
      <c r="P9" s="21" t="s">
        <v>135</v>
      </c>
      <c r="Q9" s="21" t="s">
        <v>136</v>
      </c>
      <c r="R9" s="24">
        <v>37</v>
      </c>
      <c r="S9" s="24">
        <v>60</v>
      </c>
      <c r="T9" s="21" t="s">
        <v>139</v>
      </c>
      <c r="U9" s="24">
        <v>3000</v>
      </c>
      <c r="V9" s="24">
        <v>18</v>
      </c>
      <c r="W9" s="25" t="s">
        <v>140</v>
      </c>
      <c r="X9" s="25" t="s">
        <v>140</v>
      </c>
      <c r="Y9" s="25" t="s">
        <v>140</v>
      </c>
      <c r="Z9" s="25" t="s">
        <v>182</v>
      </c>
      <c r="AA9" s="26" t="s">
        <v>10</v>
      </c>
      <c r="AB9" s="25" t="s">
        <v>140</v>
      </c>
      <c r="AC9" s="25" t="s">
        <v>140</v>
      </c>
      <c r="AD9" s="27"/>
      <c r="AE9" s="28">
        <v>1</v>
      </c>
      <c r="AF9" s="28"/>
      <c r="AG9" s="28"/>
      <c r="AH9" s="28"/>
      <c r="AI9" s="28" t="s">
        <v>142</v>
      </c>
      <c r="AJ9" s="28"/>
      <c r="AK9" s="28"/>
      <c r="AL9" s="28"/>
      <c r="AM9" s="28"/>
      <c r="AN9" s="28"/>
      <c r="AO9" s="28"/>
      <c r="AP9" s="28"/>
      <c r="AQ9" s="28"/>
      <c r="AR9" s="28"/>
      <c r="AS9" s="28"/>
      <c r="AT9" s="28"/>
      <c r="AU9" s="28"/>
      <c r="AV9" s="29" t="s">
        <v>10</v>
      </c>
      <c r="AW9" s="30" t="s">
        <v>143</v>
      </c>
      <c r="AX9" s="30" t="s">
        <v>144</v>
      </c>
      <c r="AY9" s="29" t="s">
        <v>10</v>
      </c>
      <c r="AZ9" s="29"/>
      <c r="BA9" s="29">
        <v>1</v>
      </c>
      <c r="BB9" s="29">
        <v>18</v>
      </c>
      <c r="BC9" s="31" t="s">
        <v>145</v>
      </c>
      <c r="BD9" s="31" t="s">
        <v>146</v>
      </c>
      <c r="BE9" s="31"/>
      <c r="BF9" s="31"/>
      <c r="BG9" s="31" t="s">
        <v>147</v>
      </c>
    </row>
    <row r="10" spans="1:59" ht="30" customHeight="1">
      <c r="A10" s="20" t="s">
        <v>512</v>
      </c>
      <c r="B10" s="21"/>
      <c r="C10" s="21" t="s">
        <v>28</v>
      </c>
      <c r="D10" s="22" t="s">
        <v>29</v>
      </c>
      <c r="E10" s="23" t="s">
        <v>183</v>
      </c>
      <c r="F10" s="22" t="s">
        <v>184</v>
      </c>
      <c r="G10" s="32" t="s">
        <v>185</v>
      </c>
      <c r="H10" s="23" t="s">
        <v>186</v>
      </c>
      <c r="I10" s="23" t="s">
        <v>514</v>
      </c>
      <c r="J10" s="24">
        <v>23</v>
      </c>
      <c r="K10" s="21" t="s">
        <v>135</v>
      </c>
      <c r="L10" s="21" t="s">
        <v>136</v>
      </c>
      <c r="M10" s="24">
        <v>29</v>
      </c>
      <c r="N10" s="24">
        <v>50</v>
      </c>
      <c r="O10" s="24">
        <v>20</v>
      </c>
      <c r="P10" s="21" t="s">
        <v>138</v>
      </c>
      <c r="Q10" s="21" t="s">
        <v>153</v>
      </c>
      <c r="R10" s="24">
        <v>32</v>
      </c>
      <c r="S10" s="24">
        <v>54</v>
      </c>
      <c r="T10" s="21" t="s">
        <v>139</v>
      </c>
      <c r="U10" s="24">
        <v>4000</v>
      </c>
      <c r="V10" s="24">
        <v>19</v>
      </c>
      <c r="W10" s="25" t="s">
        <v>140</v>
      </c>
      <c r="X10" s="25" t="s">
        <v>140</v>
      </c>
      <c r="Y10" s="25" t="s">
        <v>140</v>
      </c>
      <c r="Z10" s="25" t="s">
        <v>182</v>
      </c>
      <c r="AA10" s="26" t="s">
        <v>10</v>
      </c>
      <c r="AB10" s="25" t="s">
        <v>140</v>
      </c>
      <c r="AC10" s="25" t="s">
        <v>140</v>
      </c>
      <c r="AD10" s="27"/>
      <c r="AE10" s="28">
        <v>1</v>
      </c>
      <c r="AF10" s="28"/>
      <c r="AG10" s="28"/>
      <c r="AH10" s="28"/>
      <c r="AI10" s="28" t="s">
        <v>142</v>
      </c>
      <c r="AJ10" s="28"/>
      <c r="AK10" s="28"/>
      <c r="AL10" s="28"/>
      <c r="AM10" s="28"/>
      <c r="AN10" s="28"/>
      <c r="AO10" s="28"/>
      <c r="AP10" s="28"/>
      <c r="AQ10" s="28"/>
      <c r="AR10" s="28"/>
      <c r="AS10" s="28"/>
      <c r="AT10" s="28"/>
      <c r="AU10" s="28"/>
      <c r="AV10" s="29" t="s">
        <v>10</v>
      </c>
      <c r="AW10" s="30" t="s">
        <v>143</v>
      </c>
      <c r="AX10" s="30" t="s">
        <v>144</v>
      </c>
      <c r="AY10" s="29" t="s">
        <v>10</v>
      </c>
      <c r="AZ10" s="29"/>
      <c r="BA10" s="29">
        <v>1</v>
      </c>
      <c r="BB10" s="29">
        <v>19</v>
      </c>
      <c r="BC10" s="31" t="s">
        <v>145</v>
      </c>
      <c r="BD10" s="31" t="s">
        <v>146</v>
      </c>
      <c r="BE10" s="31"/>
      <c r="BF10" s="31"/>
      <c r="BG10" s="31" t="s">
        <v>147</v>
      </c>
    </row>
    <row r="11" spans="1:59" ht="30" customHeight="1">
      <c r="A11" s="20" t="s">
        <v>512</v>
      </c>
      <c r="B11" s="21"/>
      <c r="C11" s="21" t="s">
        <v>31</v>
      </c>
      <c r="D11" s="22" t="s">
        <v>32</v>
      </c>
      <c r="E11" s="23" t="s">
        <v>187</v>
      </c>
      <c r="F11" s="32" t="s">
        <v>188</v>
      </c>
      <c r="G11" s="32" t="s">
        <v>189</v>
      </c>
      <c r="H11" s="23" t="s">
        <v>190</v>
      </c>
      <c r="I11" s="23" t="s">
        <v>514</v>
      </c>
      <c r="J11" s="24">
        <v>25</v>
      </c>
      <c r="K11" s="21" t="s">
        <v>163</v>
      </c>
      <c r="L11" s="21" t="s">
        <v>152</v>
      </c>
      <c r="M11" s="24">
        <v>27</v>
      </c>
      <c r="N11" s="24">
        <v>48</v>
      </c>
      <c r="O11" s="24">
        <v>23</v>
      </c>
      <c r="P11" s="21" t="s">
        <v>135</v>
      </c>
      <c r="Q11" s="21" t="s">
        <v>136</v>
      </c>
      <c r="R11" s="24">
        <v>29</v>
      </c>
      <c r="S11" s="24">
        <v>52</v>
      </c>
      <c r="T11" s="21" t="s">
        <v>139</v>
      </c>
      <c r="U11" s="24">
        <v>2000</v>
      </c>
      <c r="V11" s="24">
        <v>16</v>
      </c>
      <c r="W11" s="25" t="s">
        <v>140</v>
      </c>
      <c r="X11" s="25" t="s">
        <v>140</v>
      </c>
      <c r="Y11" s="25" t="s">
        <v>140</v>
      </c>
      <c r="Z11" s="25" t="s">
        <v>182</v>
      </c>
      <c r="AA11" s="26" t="s">
        <v>10</v>
      </c>
      <c r="AB11" s="25" t="s">
        <v>140</v>
      </c>
      <c r="AC11" s="25" t="s">
        <v>140</v>
      </c>
      <c r="AD11" s="27"/>
      <c r="AE11" s="28">
        <v>1</v>
      </c>
      <c r="AF11" s="28"/>
      <c r="AG11" s="28"/>
      <c r="AH11" s="28"/>
      <c r="AI11" s="28" t="s">
        <v>142</v>
      </c>
      <c r="AJ11" s="28"/>
      <c r="AK11" s="28"/>
      <c r="AL11" s="28"/>
      <c r="AM11" s="28"/>
      <c r="AN11" s="28"/>
      <c r="AO11" s="28"/>
      <c r="AP11" s="28"/>
      <c r="AQ11" s="28"/>
      <c r="AR11" s="28"/>
      <c r="AS11" s="28"/>
      <c r="AT11" s="28"/>
      <c r="AU11" s="28"/>
      <c r="AV11" s="29" t="s">
        <v>10</v>
      </c>
      <c r="AW11" s="30" t="s">
        <v>143</v>
      </c>
      <c r="AX11" s="30" t="s">
        <v>144</v>
      </c>
      <c r="AY11" s="29" t="s">
        <v>191</v>
      </c>
      <c r="AZ11" s="29"/>
      <c r="BA11" s="29">
        <v>1</v>
      </c>
      <c r="BB11" s="29">
        <v>19</v>
      </c>
      <c r="BC11" s="31" t="s">
        <v>145</v>
      </c>
      <c r="BD11" s="31" t="s">
        <v>146</v>
      </c>
      <c r="BE11" s="31"/>
      <c r="BF11" s="31"/>
      <c r="BG11" s="31" t="s">
        <v>147</v>
      </c>
    </row>
    <row r="12" spans="1:59" s="44" customFormat="1" ht="30" customHeight="1">
      <c r="A12" s="20" t="s">
        <v>512</v>
      </c>
      <c r="B12" s="24"/>
      <c r="C12" s="21" t="s">
        <v>19</v>
      </c>
      <c r="D12" s="22" t="s">
        <v>33</v>
      </c>
      <c r="E12" s="23" t="s">
        <v>165</v>
      </c>
      <c r="F12" s="22" t="s">
        <v>166</v>
      </c>
      <c r="G12" s="32" t="s">
        <v>192</v>
      </c>
      <c r="H12" s="23" t="s">
        <v>193</v>
      </c>
      <c r="I12" s="23" t="s">
        <v>514</v>
      </c>
      <c r="J12" s="24"/>
      <c r="K12" s="24"/>
      <c r="L12" s="24"/>
      <c r="M12" s="24"/>
      <c r="N12" s="24"/>
      <c r="O12" s="24"/>
      <c r="P12" s="24"/>
      <c r="Q12" s="24"/>
      <c r="R12" s="24"/>
      <c r="S12" s="24"/>
      <c r="T12" s="21" t="s">
        <v>139</v>
      </c>
      <c r="U12" s="24">
        <v>4000</v>
      </c>
      <c r="V12" s="24">
        <v>18</v>
      </c>
      <c r="W12" s="25" t="s">
        <v>140</v>
      </c>
      <c r="X12" s="25" t="s">
        <v>140</v>
      </c>
      <c r="Y12" s="25" t="s">
        <v>169</v>
      </c>
      <c r="Z12" s="25" t="s">
        <v>154</v>
      </c>
      <c r="AA12" s="26" t="s">
        <v>10</v>
      </c>
      <c r="AB12" s="25" t="s">
        <v>164</v>
      </c>
      <c r="AC12" s="25" t="s">
        <v>10</v>
      </c>
      <c r="AD12" s="27" t="s">
        <v>194</v>
      </c>
      <c r="AE12" s="42">
        <v>2</v>
      </c>
      <c r="AF12" s="42" t="s">
        <v>13</v>
      </c>
      <c r="AG12" s="42" t="s">
        <v>148</v>
      </c>
      <c r="AH12" s="43" t="s">
        <v>149</v>
      </c>
      <c r="AI12" s="42" t="s">
        <v>195</v>
      </c>
      <c r="AJ12" s="42" t="s">
        <v>142</v>
      </c>
      <c r="AK12" s="42">
        <v>5000</v>
      </c>
      <c r="AL12" s="42">
        <v>28</v>
      </c>
      <c r="AM12" s="42" t="s">
        <v>161</v>
      </c>
      <c r="AN12" s="42" t="s">
        <v>196</v>
      </c>
      <c r="AO12" s="42">
        <v>41</v>
      </c>
      <c r="AP12" s="42">
        <v>61</v>
      </c>
      <c r="AQ12" s="42">
        <v>30</v>
      </c>
      <c r="AR12" s="42" t="s">
        <v>197</v>
      </c>
      <c r="AS12" s="42" t="s">
        <v>160</v>
      </c>
      <c r="AT12" s="42">
        <v>41</v>
      </c>
      <c r="AU12" s="42">
        <v>61</v>
      </c>
      <c r="AV12" s="29"/>
      <c r="AW12" s="30"/>
      <c r="AX12" s="30"/>
      <c r="AY12" s="29" t="s">
        <v>34</v>
      </c>
      <c r="AZ12" s="29"/>
      <c r="BA12" s="29">
        <v>1</v>
      </c>
      <c r="BB12" s="29">
        <v>18</v>
      </c>
      <c r="BC12" s="31"/>
      <c r="BD12" s="31"/>
      <c r="BE12" s="31" t="s">
        <v>145</v>
      </c>
      <c r="BF12" s="31" t="s">
        <v>198</v>
      </c>
      <c r="BG12" s="31" t="s">
        <v>147</v>
      </c>
    </row>
  </sheetData>
  <mergeCells count="11">
    <mergeCell ref="A1:G1"/>
    <mergeCell ref="S2:U2"/>
    <mergeCell ref="AU2:AW2"/>
    <mergeCell ref="AB2:AC2"/>
    <mergeCell ref="N2:R2"/>
    <mergeCell ref="A2:G2"/>
    <mergeCell ref="AP2:AT2"/>
    <mergeCell ref="AK2:AO2"/>
    <mergeCell ref="H2:M2"/>
    <mergeCell ref="V2:AA2"/>
    <mergeCell ref="AD2:AJ2"/>
  </mergeCells>
  <phoneticPr fontId="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
  <sheetViews>
    <sheetView workbookViewId="0"/>
  </sheetViews>
  <sheetFormatPr defaultColWidth="8.5" defaultRowHeight="13.5"/>
  <cols>
    <col min="1" max="1" width="18" customWidth="1"/>
    <col min="2" max="3" width="10" customWidth="1"/>
    <col min="4" max="4" width="16" customWidth="1"/>
    <col min="5" max="5" width="14" customWidth="1"/>
    <col min="6" max="6" width="12" customWidth="1"/>
    <col min="7" max="7" width="10" customWidth="1"/>
    <col min="8" max="8" width="16" customWidth="1"/>
    <col min="9" max="9" width="12" customWidth="1"/>
    <col min="10" max="10" width="10" customWidth="1"/>
    <col min="11" max="11" width="78.5" customWidth="1"/>
    <col min="12" max="12" width="18" customWidth="1"/>
  </cols>
  <sheetData>
    <row r="1" spans="1:12" ht="30" customHeight="1">
      <c r="A1" s="19" t="s">
        <v>4</v>
      </c>
      <c r="B1" s="19" t="s">
        <v>199</v>
      </c>
      <c r="C1" s="19" t="s">
        <v>200</v>
      </c>
      <c r="D1" s="19" t="s">
        <v>201</v>
      </c>
      <c r="E1" s="19" t="s">
        <v>202</v>
      </c>
      <c r="F1" s="19" t="s">
        <v>203</v>
      </c>
      <c r="G1" s="19" t="s">
        <v>204</v>
      </c>
      <c r="H1" s="19" t="s">
        <v>205</v>
      </c>
      <c r="I1" s="19" t="s">
        <v>206</v>
      </c>
      <c r="J1" s="19" t="s">
        <v>207</v>
      </c>
      <c r="K1" s="19" t="s">
        <v>208</v>
      </c>
      <c r="L1" s="19" t="s">
        <v>209</v>
      </c>
    </row>
    <row r="2" spans="1:12" ht="14.25" customHeight="1">
      <c r="A2" s="45" t="str">
        <f>拠点別設定値!D4</f>
        <v>札幌</v>
      </c>
      <c r="B2" s="45" t="s">
        <v>145</v>
      </c>
      <c r="C2" s="45" t="s">
        <v>210</v>
      </c>
      <c r="D2" s="45" t="str">
        <f>拠点別設定値!BC4</f>
        <v>欠品</v>
      </c>
      <c r="E2" s="45">
        <v>2</v>
      </c>
      <c r="F2" s="45">
        <f>拠点別設定値!J4</f>
        <v>23</v>
      </c>
      <c r="G2" s="45">
        <v>1</v>
      </c>
      <c r="H2" s="45" t="str">
        <f>拠点別設定値!K4&amp;拠点別設定値!M4&amp;":"&amp;拠点別設定値!K4&amp;拠点別設定値!N4</f>
        <v>X27:X48</v>
      </c>
      <c r="I2" s="45" t="str">
        <f>拠点別設定値!L4&amp;拠点別設定値!M4</f>
        <v>W27</v>
      </c>
      <c r="J2" s="45" t="s">
        <v>211</v>
      </c>
      <c r="K2" s="45"/>
      <c r="L2" s="45" t="str">
        <f t="shared" ref="L2:L41" si="0">IF(G2=1,"有","無")</f>
        <v>有</v>
      </c>
    </row>
    <row r="3" spans="1:12" ht="18.75" customHeight="1">
      <c r="A3" s="45" t="str">
        <f>拠点別設定値!D4</f>
        <v>札幌</v>
      </c>
      <c r="B3" s="45" t="s">
        <v>145</v>
      </c>
      <c r="C3" s="45" t="s">
        <v>210</v>
      </c>
      <c r="D3" s="45" t="str">
        <f>拠点別設定値!BC4</f>
        <v>欠品</v>
      </c>
      <c r="E3" s="45">
        <v>2</v>
      </c>
      <c r="F3" s="45">
        <f>拠点別設定値!J4</f>
        <v>23</v>
      </c>
      <c r="G3" s="45">
        <v>2</v>
      </c>
      <c r="H3" s="45" t="str">
        <f>拠点別設定値!K4&amp;(拠点別設定値!M4+1)&amp;":"&amp;拠点別設定値!K4&amp;(拠点別設定値!M4+2)</f>
        <v>X28:X29</v>
      </c>
      <c r="I3" s="45" t="str">
        <f>拠点別設定値!L4&amp;(拠点別設定値!M4+1)</f>
        <v>W28</v>
      </c>
      <c r="J3" s="45" t="s">
        <v>212</v>
      </c>
      <c r="K3" s="45" t="s">
        <v>213</v>
      </c>
      <c r="L3" s="45" t="str">
        <f t="shared" si="0"/>
        <v>無</v>
      </c>
    </row>
    <row r="4" spans="1:12" ht="14.25" customHeight="1">
      <c r="A4" s="45" t="str">
        <f>拠点別設定値!D4</f>
        <v>札幌</v>
      </c>
      <c r="B4" s="45" t="s">
        <v>146</v>
      </c>
      <c r="C4" s="45" t="s">
        <v>210</v>
      </c>
      <c r="D4" s="45" t="str">
        <f>拠点別設定値!BD4</f>
        <v>在庫額</v>
      </c>
      <c r="E4" s="45">
        <v>2</v>
      </c>
      <c r="F4" s="45">
        <f>拠点別設定値!O4</f>
        <v>21</v>
      </c>
      <c r="G4" s="45">
        <v>1</v>
      </c>
      <c r="H4" s="45" t="str">
        <f>拠点別設定値!P4&amp;拠点別設定値!R4&amp;":"&amp;拠点別設定値!P4&amp;拠点別設定値!S4</f>
        <v>V29:V52</v>
      </c>
      <c r="I4" s="45" t="str">
        <f>拠点別設定値!Q4&amp;拠点別設定値!R4</f>
        <v>U29</v>
      </c>
      <c r="J4" s="45" t="s">
        <v>211</v>
      </c>
      <c r="K4" s="45"/>
      <c r="L4" s="45" t="str">
        <f t="shared" si="0"/>
        <v>有</v>
      </c>
    </row>
    <row r="5" spans="1:12" ht="18.75" customHeight="1">
      <c r="A5" s="45" t="str">
        <f>拠点別設定値!D4</f>
        <v>札幌</v>
      </c>
      <c r="B5" s="45" t="s">
        <v>146</v>
      </c>
      <c r="C5" s="45" t="s">
        <v>210</v>
      </c>
      <c r="D5" s="45" t="str">
        <f>拠点別設定値!BD4</f>
        <v>在庫額</v>
      </c>
      <c r="E5" s="45">
        <v>2</v>
      </c>
      <c r="F5" s="45">
        <f>拠点別設定値!O4</f>
        <v>21</v>
      </c>
      <c r="G5" s="45">
        <v>2</v>
      </c>
      <c r="H5" s="45" t="str">
        <f>拠点別設定値!P4&amp;(拠点別設定値!R4+1)&amp;":"&amp;拠点別設定値!P4&amp;(拠点別設定値!R4+2)</f>
        <v>V30:V31</v>
      </c>
      <c r="I5" s="45" t="str">
        <f>拠点別設定値!Q4&amp;(拠点別設定値!R4+1)</f>
        <v>U30</v>
      </c>
      <c r="J5" s="45" t="s">
        <v>212</v>
      </c>
      <c r="K5" s="45" t="s">
        <v>213</v>
      </c>
      <c r="L5" s="45" t="str">
        <f t="shared" si="0"/>
        <v>無</v>
      </c>
    </row>
    <row r="6" spans="1:12" ht="14.25" customHeight="1">
      <c r="A6" s="45" t="str">
        <f>拠点別設定値!D5</f>
        <v>倉庫(本社)</v>
      </c>
      <c r="B6" s="45" t="s">
        <v>145</v>
      </c>
      <c r="C6" s="45" t="s">
        <v>210</v>
      </c>
      <c r="D6" s="45" t="str">
        <f>拠点別設定値!BC5</f>
        <v>欠品</v>
      </c>
      <c r="E6" s="45">
        <v>2</v>
      </c>
      <c r="F6" s="45">
        <f>拠点別設定値!J5</f>
        <v>24</v>
      </c>
      <c r="G6" s="45">
        <v>1</v>
      </c>
      <c r="H6" s="45" t="str">
        <f>拠点別設定値!K5&amp;拠点別設定値!M5&amp;":"&amp;拠点別設定値!K5&amp;拠点別設定値!N5</f>
        <v>Y37:Y58</v>
      </c>
      <c r="I6" s="45" t="str">
        <f>拠点別設定値!L5&amp;拠点別設定値!M5</f>
        <v>X37</v>
      </c>
      <c r="J6" s="45" t="s">
        <v>211</v>
      </c>
      <c r="K6" s="45"/>
      <c r="L6" s="45" t="str">
        <f t="shared" si="0"/>
        <v>有</v>
      </c>
    </row>
    <row r="7" spans="1:12" ht="18.75" customHeight="1">
      <c r="A7" s="45" t="str">
        <f>拠点別設定値!D5</f>
        <v>倉庫(本社)</v>
      </c>
      <c r="B7" s="45" t="s">
        <v>145</v>
      </c>
      <c r="C7" s="45" t="s">
        <v>210</v>
      </c>
      <c r="D7" s="45" t="str">
        <f>拠点別設定値!BC5</f>
        <v>欠品</v>
      </c>
      <c r="E7" s="45">
        <v>2</v>
      </c>
      <c r="F7" s="45">
        <f>拠点別設定値!J5</f>
        <v>24</v>
      </c>
      <c r="G7" s="45">
        <v>2</v>
      </c>
      <c r="H7" s="45" t="str">
        <f>拠点別設定値!K5&amp;(拠点別設定値!M5+1)&amp;":"&amp;拠点別設定値!K5&amp;(拠点別設定値!M5+2)</f>
        <v>Y38:Y39</v>
      </c>
      <c r="I7" s="45" t="str">
        <f>拠点別設定値!L5&amp;(拠点別設定値!M5+1)</f>
        <v>X38</v>
      </c>
      <c r="J7" s="45" t="s">
        <v>212</v>
      </c>
      <c r="K7" s="45" t="s">
        <v>213</v>
      </c>
      <c r="L7" s="45" t="str">
        <f t="shared" si="0"/>
        <v>無</v>
      </c>
    </row>
    <row r="8" spans="1:12" ht="14.25" customHeight="1">
      <c r="A8" s="45" t="str">
        <f>拠点別設定値!D5</f>
        <v>倉庫(本社)</v>
      </c>
      <c r="B8" s="45" t="s">
        <v>146</v>
      </c>
      <c r="C8" s="45" t="s">
        <v>210</v>
      </c>
      <c r="D8" s="45" t="str">
        <f>拠点別設定値!BD5</f>
        <v>在庫額</v>
      </c>
      <c r="E8" s="45">
        <v>2</v>
      </c>
      <c r="F8" s="45">
        <f>拠点別設定値!O5</f>
        <v>20</v>
      </c>
      <c r="G8" s="45">
        <v>1</v>
      </c>
      <c r="H8" s="45" t="str">
        <f>拠点別設定値!P5&amp;拠点別設定値!R5&amp;":"&amp;拠点別設定値!P5&amp;拠点別設定値!S5</f>
        <v>U37:U60</v>
      </c>
      <c r="I8" s="45" t="str">
        <f>拠点別設定値!Q5&amp;拠点別設定値!R5</f>
        <v>T37</v>
      </c>
      <c r="J8" s="45" t="s">
        <v>211</v>
      </c>
      <c r="K8" s="45"/>
      <c r="L8" s="45" t="str">
        <f t="shared" si="0"/>
        <v>有</v>
      </c>
    </row>
    <row r="9" spans="1:12" ht="18.75" customHeight="1">
      <c r="A9" s="45" t="str">
        <f>拠点別設定値!D5</f>
        <v>倉庫(本社)</v>
      </c>
      <c r="B9" s="45" t="s">
        <v>146</v>
      </c>
      <c r="C9" s="45" t="s">
        <v>210</v>
      </c>
      <c r="D9" s="45" t="str">
        <f>拠点別設定値!BD5</f>
        <v>在庫額</v>
      </c>
      <c r="E9" s="45">
        <v>2</v>
      </c>
      <c r="F9" s="45">
        <f>拠点別設定値!O5</f>
        <v>20</v>
      </c>
      <c r="G9" s="45">
        <v>2</v>
      </c>
      <c r="H9" s="45" t="str">
        <f>拠点別設定値!P5&amp;(拠点別設定値!R5+1)&amp;":"&amp;拠点別設定値!P5&amp;(拠点別設定値!R5+2)</f>
        <v>U38:U39</v>
      </c>
      <c r="I9" s="45" t="str">
        <f>拠点別設定値!Q5&amp;(拠点別設定値!R5+1)</f>
        <v>T38</v>
      </c>
      <c r="J9" s="45" t="s">
        <v>212</v>
      </c>
      <c r="K9" s="45" t="s">
        <v>213</v>
      </c>
      <c r="L9" s="45" t="str">
        <f t="shared" si="0"/>
        <v>無</v>
      </c>
    </row>
    <row r="10" spans="1:12" ht="14.25" customHeight="1">
      <c r="A10" s="45" t="str">
        <f>拠点別設定値!D6</f>
        <v>製造(大型)</v>
      </c>
      <c r="B10" s="45" t="s">
        <v>145</v>
      </c>
      <c r="C10" s="45" t="s">
        <v>210</v>
      </c>
      <c r="D10" s="45" t="str">
        <f>拠点別設定値!BC6</f>
        <v>欠品</v>
      </c>
      <c r="E10" s="45">
        <v>2</v>
      </c>
      <c r="F10" s="45">
        <f>拠点別設定値!J6</f>
        <v>29</v>
      </c>
      <c r="G10" s="45">
        <v>1</v>
      </c>
      <c r="H10" s="45" t="str">
        <f>拠点別設定値!K6&amp;拠点別設定値!M6&amp;":"&amp;拠点別設定値!K6&amp;拠点別設定値!N6</f>
        <v>AD37:AD47</v>
      </c>
      <c r="I10" s="45" t="str">
        <f>拠点別設定値!L6&amp;拠点別設定値!M6</f>
        <v>AC37</v>
      </c>
      <c r="J10" s="45" t="s">
        <v>211</v>
      </c>
      <c r="K10" s="45"/>
      <c r="L10" s="45" t="str">
        <f t="shared" si="0"/>
        <v>有</v>
      </c>
    </row>
    <row r="11" spans="1:12" ht="18.75" customHeight="1">
      <c r="A11" s="45" t="str">
        <f>拠点別設定値!D6</f>
        <v>製造(大型)</v>
      </c>
      <c r="B11" s="45" t="s">
        <v>145</v>
      </c>
      <c r="C11" s="45" t="s">
        <v>210</v>
      </c>
      <c r="D11" s="45" t="str">
        <f>拠点別設定値!BC6</f>
        <v>欠品</v>
      </c>
      <c r="E11" s="45">
        <v>2</v>
      </c>
      <c r="F11" s="45">
        <f>拠点別設定値!J6</f>
        <v>29</v>
      </c>
      <c r="G11" s="45">
        <v>2</v>
      </c>
      <c r="H11" s="45" t="str">
        <f>拠点別設定値!K6&amp;(拠点別設定値!M6+1)&amp;":"&amp;拠点別設定値!K6&amp;(拠点別設定値!M6+2)</f>
        <v>AD38:AD39</v>
      </c>
      <c r="I11" s="45" t="str">
        <f>拠点別設定値!L6&amp;(拠点別設定値!M6+1)</f>
        <v>AC38</v>
      </c>
      <c r="J11" s="45" t="s">
        <v>212</v>
      </c>
      <c r="K11" s="45" t="s">
        <v>213</v>
      </c>
      <c r="L11" s="45" t="str">
        <f t="shared" si="0"/>
        <v>無</v>
      </c>
    </row>
    <row r="12" spans="1:12" ht="14.25" customHeight="1">
      <c r="A12" s="45" t="str">
        <f>拠点別設定値!D6</f>
        <v>製造(大型)</v>
      </c>
      <c r="B12" s="45" t="s">
        <v>146</v>
      </c>
      <c r="C12" s="45" t="s">
        <v>210</v>
      </c>
      <c r="D12" s="45" t="str">
        <f>拠点別設定値!BD6</f>
        <v>在庫額</v>
      </c>
      <c r="E12" s="45">
        <v>2</v>
      </c>
      <c r="F12" s="45">
        <f>拠点別設定値!O6</f>
        <v>26</v>
      </c>
      <c r="G12" s="45">
        <v>1</v>
      </c>
      <c r="H12" s="45" t="str">
        <f>拠点別設定値!P6&amp;拠点別設定値!R6&amp;":"&amp;拠点別設定値!P6&amp;拠点別設定値!S6</f>
        <v>AA37:AA48</v>
      </c>
      <c r="I12" s="45" t="str">
        <f>拠点別設定値!Q6&amp;拠点別設定値!R6</f>
        <v>Z37</v>
      </c>
      <c r="J12" s="45" t="s">
        <v>211</v>
      </c>
      <c r="K12" s="45"/>
      <c r="L12" s="45" t="str">
        <f t="shared" si="0"/>
        <v>有</v>
      </c>
    </row>
    <row r="13" spans="1:12" ht="18.75" customHeight="1">
      <c r="A13" s="45" t="str">
        <f>拠点別設定値!D6</f>
        <v>製造(大型)</v>
      </c>
      <c r="B13" s="45" t="s">
        <v>146</v>
      </c>
      <c r="C13" s="45" t="s">
        <v>210</v>
      </c>
      <c r="D13" s="45" t="str">
        <f>拠点別設定値!BD6</f>
        <v>在庫額</v>
      </c>
      <c r="E13" s="45">
        <v>2</v>
      </c>
      <c r="F13" s="45">
        <f>拠点別設定値!O6</f>
        <v>26</v>
      </c>
      <c r="G13" s="45">
        <v>2</v>
      </c>
      <c r="H13" s="45" t="str">
        <f>拠点別設定値!P6&amp;(拠点別設定値!R6+1)&amp;":"&amp;拠点別設定値!P6&amp;(拠点別設定値!R6+2)</f>
        <v>AA38:AA39</v>
      </c>
      <c r="I13" s="45" t="str">
        <f>拠点別設定値!Q6&amp;(拠点別設定値!R6+1)</f>
        <v>Z38</v>
      </c>
      <c r="J13" s="45" t="s">
        <v>212</v>
      </c>
      <c r="K13" s="45" t="s">
        <v>213</v>
      </c>
      <c r="L13" s="45" t="str">
        <f t="shared" si="0"/>
        <v>無</v>
      </c>
    </row>
    <row r="14" spans="1:12" ht="14.25" customHeight="1">
      <c r="A14" s="45" t="str">
        <f>拠点別設定値!D7</f>
        <v>外注鉄</v>
      </c>
      <c r="B14" s="45" t="s">
        <v>145</v>
      </c>
      <c r="C14" s="45" t="s">
        <v>210</v>
      </c>
      <c r="D14" s="45" t="str">
        <f>拠点別設定値!BC7</f>
        <v>在庫切れ</v>
      </c>
      <c r="E14" s="45">
        <v>2</v>
      </c>
      <c r="F14" s="45">
        <f>拠点別設定値!J7</f>
        <v>22</v>
      </c>
      <c r="G14" s="45">
        <v>1</v>
      </c>
      <c r="H14" s="45" t="str">
        <f>拠点別設定値!K7&amp;拠点別設定値!M7&amp;":"&amp;拠点別設定値!K7&amp;拠点別設定値!N7</f>
        <v>W27:W36</v>
      </c>
      <c r="I14" s="45" t="str">
        <f>拠点別設定値!L7&amp;拠点別設定値!M7</f>
        <v>V27</v>
      </c>
      <c r="J14" s="45" t="s">
        <v>211</v>
      </c>
      <c r="K14" s="45"/>
      <c r="L14" s="45" t="str">
        <f t="shared" si="0"/>
        <v>有</v>
      </c>
    </row>
    <row r="15" spans="1:12" ht="18.75" customHeight="1">
      <c r="A15" s="45" t="str">
        <f>拠点別設定値!D7</f>
        <v>外注鉄</v>
      </c>
      <c r="B15" s="45" t="s">
        <v>145</v>
      </c>
      <c r="C15" s="45" t="s">
        <v>210</v>
      </c>
      <c r="D15" s="45" t="str">
        <f>拠点別設定値!BC7</f>
        <v>在庫切れ</v>
      </c>
      <c r="E15" s="45">
        <v>2</v>
      </c>
      <c r="F15" s="45">
        <f>拠点別設定値!J7</f>
        <v>22</v>
      </c>
      <c r="G15" s="45">
        <v>2</v>
      </c>
      <c r="H15" s="45" t="str">
        <f>拠点別設定値!K7&amp;(拠点別設定値!M7+1)&amp;":"&amp;拠点別設定値!K7&amp;(拠点別設定値!M7+2)</f>
        <v>W28:W29</v>
      </c>
      <c r="I15" s="45" t="str">
        <f>拠点別設定値!L7&amp;(拠点別設定値!M7+1)</f>
        <v>V28</v>
      </c>
      <c r="J15" s="45" t="s">
        <v>212</v>
      </c>
      <c r="K15" s="45" t="s">
        <v>213</v>
      </c>
      <c r="L15" s="45" t="str">
        <f t="shared" si="0"/>
        <v>無</v>
      </c>
    </row>
    <row r="16" spans="1:12" ht="14.25" customHeight="1">
      <c r="A16" s="45" t="str">
        <f>拠点別設定値!D7</f>
        <v>外注鉄</v>
      </c>
      <c r="B16" s="45" t="s">
        <v>146</v>
      </c>
      <c r="C16" s="45" t="s">
        <v>210</v>
      </c>
      <c r="D16" s="45" t="str">
        <f>拠点別設定値!BD7</f>
        <v>在庫額</v>
      </c>
      <c r="E16" s="45">
        <v>2</v>
      </c>
      <c r="F16" s="45">
        <f>拠点別設定値!O7</f>
        <v>21</v>
      </c>
      <c r="G16" s="45">
        <v>1</v>
      </c>
      <c r="H16" s="45" t="str">
        <f>拠点別設定値!P7&amp;拠点別設定値!R7&amp;":"&amp;拠点別設定値!P7&amp;拠点別設定値!S7</f>
        <v>V28:V39</v>
      </c>
      <c r="I16" s="45" t="str">
        <f>拠点別設定値!Q7&amp;拠点別設定値!R7</f>
        <v>U28</v>
      </c>
      <c r="J16" s="45" t="s">
        <v>211</v>
      </c>
      <c r="K16" s="45"/>
      <c r="L16" s="45" t="str">
        <f t="shared" si="0"/>
        <v>有</v>
      </c>
    </row>
    <row r="17" spans="1:12" ht="18.75" customHeight="1">
      <c r="A17" s="45" t="str">
        <f>拠点別設定値!D7</f>
        <v>外注鉄</v>
      </c>
      <c r="B17" s="45" t="s">
        <v>146</v>
      </c>
      <c r="C17" s="45" t="s">
        <v>210</v>
      </c>
      <c r="D17" s="45" t="str">
        <f>拠点別設定値!BD7</f>
        <v>在庫額</v>
      </c>
      <c r="E17" s="45">
        <v>2</v>
      </c>
      <c r="F17" s="45">
        <f>拠点別設定値!O7</f>
        <v>21</v>
      </c>
      <c r="G17" s="45">
        <v>2</v>
      </c>
      <c r="H17" s="45" t="str">
        <f>拠点別設定値!P7&amp;(拠点別設定値!R7+1)&amp;":"&amp;拠点別設定値!P7&amp;(拠点別設定値!R7+2)</f>
        <v>V29:V30</v>
      </c>
      <c r="I17" s="45" t="str">
        <f>拠点別設定値!Q7&amp;(拠点別設定値!R7+1)</f>
        <v>U29</v>
      </c>
      <c r="J17" s="45" t="s">
        <v>212</v>
      </c>
      <c r="K17" s="45" t="s">
        <v>213</v>
      </c>
      <c r="L17" s="45" t="str">
        <f t="shared" si="0"/>
        <v>無</v>
      </c>
    </row>
    <row r="18" spans="1:12" ht="14.25" customHeight="1">
      <c r="A18" s="46" t="str">
        <f>拠点別設定値!D7</f>
        <v>外注鉄</v>
      </c>
      <c r="B18" s="46" t="s">
        <v>145</v>
      </c>
      <c r="C18" s="46" t="s">
        <v>214</v>
      </c>
      <c r="D18" s="46" t="str">
        <f>拠点別設定値!BE7</f>
        <v>欠品（色）</v>
      </c>
      <c r="E18" s="46">
        <v>2</v>
      </c>
      <c r="F18" s="46">
        <f>拠点別設定値!AL7</f>
        <v>26</v>
      </c>
      <c r="G18" s="46">
        <v>1</v>
      </c>
      <c r="H18" s="46" t="str">
        <f>拠点別設定値!AM7&amp;拠点別設定値!AO7&amp;":"&amp;拠点別設定値!AM7&amp;拠点別設定値!AP7</f>
        <v>AA41:AA63</v>
      </c>
      <c r="I18" s="46" t="str">
        <f>拠点別設定値!AN7&amp;拠点別設定値!AO7</f>
        <v>Z41</v>
      </c>
      <c r="J18" s="46" t="s">
        <v>211</v>
      </c>
      <c r="K18" s="46"/>
      <c r="L18" s="46" t="str">
        <f t="shared" si="0"/>
        <v>有</v>
      </c>
    </row>
    <row r="19" spans="1:12" ht="18.75" customHeight="1">
      <c r="A19" s="46" t="str">
        <f>拠点別設定値!D7</f>
        <v>外注鉄</v>
      </c>
      <c r="B19" s="46" t="s">
        <v>145</v>
      </c>
      <c r="C19" s="46" t="s">
        <v>214</v>
      </c>
      <c r="D19" s="46" t="str">
        <f>拠点別設定値!BE7</f>
        <v>欠品（色）</v>
      </c>
      <c r="E19" s="46">
        <v>2</v>
      </c>
      <c r="F19" s="46">
        <f>拠点別設定値!AL7</f>
        <v>26</v>
      </c>
      <c r="G19" s="46">
        <v>2</v>
      </c>
      <c r="H19" s="46" t="str">
        <f>拠点別設定値!AM7&amp;(拠点別設定値!AO7+1)&amp;":"&amp;拠点別設定値!AM7&amp;(拠点別設定値!AO7+2)</f>
        <v>AA42:AA43</v>
      </c>
      <c r="I19" s="46" t="str">
        <f>拠点別設定値!AN7&amp;(拠点別設定値!AO7+1)</f>
        <v>Z42</v>
      </c>
      <c r="J19" s="46" t="s">
        <v>212</v>
      </c>
      <c r="K19" s="46" t="s">
        <v>213</v>
      </c>
      <c r="L19" s="46" t="str">
        <f t="shared" si="0"/>
        <v>無</v>
      </c>
    </row>
    <row r="20" spans="1:12" ht="14.25" customHeight="1">
      <c r="A20" s="46" t="str">
        <f>拠点別設定値!D7</f>
        <v>外注鉄</v>
      </c>
      <c r="B20" s="46" t="s">
        <v>146</v>
      </c>
      <c r="C20" s="46" t="s">
        <v>214</v>
      </c>
      <c r="D20" s="46" t="str">
        <f>拠点別設定値!BF7</f>
        <v>在庫額（色）</v>
      </c>
      <c r="E20" s="46">
        <v>2</v>
      </c>
      <c r="F20" s="46">
        <f>拠点別設定値!AQ7</f>
        <v>22</v>
      </c>
      <c r="G20" s="46">
        <v>1</v>
      </c>
      <c r="H20" s="46" t="str">
        <f>拠点別設定値!AR7&amp;拠点別設定値!AT7&amp;":"&amp;拠点別設定値!AR7&amp;拠点別設定値!AU7</f>
        <v>W41:W63</v>
      </c>
      <c r="I20" s="46" t="str">
        <f>拠点別設定値!AS7&amp;拠点別設定値!AT7</f>
        <v>V41</v>
      </c>
      <c r="J20" s="46" t="s">
        <v>211</v>
      </c>
      <c r="K20" s="46"/>
      <c r="L20" s="46" t="str">
        <f t="shared" si="0"/>
        <v>有</v>
      </c>
    </row>
    <row r="21" spans="1:12" ht="18.75" customHeight="1">
      <c r="A21" s="46" t="str">
        <f>拠点別設定値!D7</f>
        <v>外注鉄</v>
      </c>
      <c r="B21" s="46" t="s">
        <v>146</v>
      </c>
      <c r="C21" s="46" t="s">
        <v>214</v>
      </c>
      <c r="D21" s="46" t="str">
        <f>拠点別設定値!BF7</f>
        <v>在庫額（色）</v>
      </c>
      <c r="E21" s="46">
        <v>2</v>
      </c>
      <c r="F21" s="46">
        <f>拠点別設定値!AQ7</f>
        <v>22</v>
      </c>
      <c r="G21" s="46">
        <v>2</v>
      </c>
      <c r="H21" s="46" t="str">
        <f>拠点別設定値!AR7&amp;(拠点別設定値!AT7+1)&amp;":"&amp;拠点別設定値!AR7&amp;(拠点別設定値!AT7+2)</f>
        <v>W42:W43</v>
      </c>
      <c r="I21" s="46" t="str">
        <f>拠点別設定値!AS7&amp;(拠点別設定値!AT7+1)</f>
        <v>V42</v>
      </c>
      <c r="J21" s="46" t="s">
        <v>212</v>
      </c>
      <c r="K21" s="46" t="s">
        <v>213</v>
      </c>
      <c r="L21" s="46" t="str">
        <f t="shared" si="0"/>
        <v>無</v>
      </c>
    </row>
    <row r="22" spans="1:12" ht="14.25" customHeight="1">
      <c r="A22" s="45" t="str">
        <f>拠点別設定値!D8</f>
        <v>船舶(機械部)</v>
      </c>
      <c r="B22" s="45" t="s">
        <v>145</v>
      </c>
      <c r="C22" s="45" t="s">
        <v>210</v>
      </c>
      <c r="D22" s="45" t="str">
        <f>拠点別設定値!BC8</f>
        <v>欠品</v>
      </c>
      <c r="E22" s="45">
        <v>2</v>
      </c>
      <c r="F22" s="45">
        <f>拠点別設定値!J8</f>
        <v>25</v>
      </c>
      <c r="G22" s="45">
        <v>1</v>
      </c>
      <c r="H22" s="45" t="str">
        <f>拠点別設定値!K8&amp;拠点別設定値!M8&amp;":"&amp;拠点別設定値!K8&amp;拠点別設定値!N8</f>
        <v>Z24:Z52</v>
      </c>
      <c r="I22" s="45" t="str">
        <f>拠点別設定値!L8&amp;拠点別設定値!M8</f>
        <v>Y24</v>
      </c>
      <c r="J22" s="45" t="s">
        <v>211</v>
      </c>
      <c r="K22" s="45"/>
      <c r="L22" s="45" t="str">
        <f t="shared" si="0"/>
        <v>有</v>
      </c>
    </row>
    <row r="23" spans="1:12" ht="18.75" customHeight="1">
      <c r="A23" s="45" t="str">
        <f>拠点別設定値!D8</f>
        <v>船舶(機械部)</v>
      </c>
      <c r="B23" s="45" t="s">
        <v>145</v>
      </c>
      <c r="C23" s="45" t="s">
        <v>210</v>
      </c>
      <c r="D23" s="45" t="str">
        <f>拠点別設定値!BC8</f>
        <v>欠品</v>
      </c>
      <c r="E23" s="45">
        <v>2</v>
      </c>
      <c r="F23" s="45">
        <f>拠点別設定値!J8</f>
        <v>25</v>
      </c>
      <c r="G23" s="45">
        <v>2</v>
      </c>
      <c r="H23" s="45" t="str">
        <f>拠点別設定値!K8&amp;(拠点別設定値!M8+1)&amp;":"&amp;拠点別設定値!K8&amp;(拠点別設定値!M8+2)</f>
        <v>Z25:Z26</v>
      </c>
      <c r="I23" s="45" t="str">
        <f>拠点別設定値!L8&amp;(拠点別設定値!M8+1)</f>
        <v>Y25</v>
      </c>
      <c r="J23" s="45" t="s">
        <v>212</v>
      </c>
      <c r="K23" s="45" t="s">
        <v>213</v>
      </c>
      <c r="L23" s="45" t="str">
        <f t="shared" si="0"/>
        <v>無</v>
      </c>
    </row>
    <row r="24" spans="1:12" ht="14.25" customHeight="1">
      <c r="A24" s="45" t="str">
        <f>拠点別設定値!D8</f>
        <v>船舶(機械部)</v>
      </c>
      <c r="B24" s="45" t="s">
        <v>146</v>
      </c>
      <c r="C24" s="45" t="s">
        <v>210</v>
      </c>
      <c r="D24" s="45" t="str">
        <f>拠点別設定値!BD8</f>
        <v>在庫額</v>
      </c>
      <c r="E24" s="45">
        <v>2</v>
      </c>
      <c r="F24" s="45">
        <f>拠点別設定値!O8</f>
        <v>23</v>
      </c>
      <c r="G24" s="45">
        <v>1</v>
      </c>
      <c r="H24" s="45" t="str">
        <f>拠点別設定値!P8&amp;拠点別設定値!R8&amp;":"&amp;拠点別設定値!P8&amp;拠点別設定値!S8</f>
        <v>X21:X49</v>
      </c>
      <c r="I24" s="45" t="str">
        <f>拠点別設定値!Q8&amp;拠点別設定値!R8</f>
        <v>W21</v>
      </c>
      <c r="J24" s="45" t="s">
        <v>211</v>
      </c>
      <c r="K24" s="45"/>
      <c r="L24" s="45" t="str">
        <f t="shared" si="0"/>
        <v>有</v>
      </c>
    </row>
    <row r="25" spans="1:12" ht="18.75" customHeight="1">
      <c r="A25" s="45" t="str">
        <f>拠点別設定値!D8</f>
        <v>船舶(機械部)</v>
      </c>
      <c r="B25" s="45" t="s">
        <v>146</v>
      </c>
      <c r="C25" s="45" t="s">
        <v>210</v>
      </c>
      <c r="D25" s="45" t="str">
        <f>拠点別設定値!BD8</f>
        <v>在庫額</v>
      </c>
      <c r="E25" s="45">
        <v>2</v>
      </c>
      <c r="F25" s="45">
        <f>拠点別設定値!O8</f>
        <v>23</v>
      </c>
      <c r="G25" s="45">
        <v>2</v>
      </c>
      <c r="H25" s="45" t="str">
        <f>拠点別設定値!P8&amp;(拠点別設定値!R8+1)&amp;":"&amp;拠点別設定値!P8&amp;(拠点別設定値!R8+2)</f>
        <v>X22:X23</v>
      </c>
      <c r="I25" s="45" t="str">
        <f>拠点別設定値!Q8&amp;(拠点別設定値!R8+1)</f>
        <v>W22</v>
      </c>
      <c r="J25" s="45" t="s">
        <v>212</v>
      </c>
      <c r="K25" s="45" t="s">
        <v>213</v>
      </c>
      <c r="L25" s="45" t="str">
        <f t="shared" si="0"/>
        <v>無</v>
      </c>
    </row>
    <row r="26" spans="1:12" ht="14.25" customHeight="1">
      <c r="A26" s="45" t="str">
        <f>拠点別設定値!D9</f>
        <v>仙台</v>
      </c>
      <c r="B26" s="45" t="s">
        <v>145</v>
      </c>
      <c r="C26" s="45" t="s">
        <v>210</v>
      </c>
      <c r="D26" s="45" t="str">
        <f>拠点別設定値!BC9</f>
        <v>欠品</v>
      </c>
      <c r="E26" s="45">
        <v>2</v>
      </c>
      <c r="F26" s="45">
        <f>拠点別設定値!J9</f>
        <v>23</v>
      </c>
      <c r="G26" s="45">
        <v>1</v>
      </c>
      <c r="H26" s="45" t="str">
        <f>拠点別設定値!K9&amp;拠点別設定値!M9&amp;":"&amp;拠点別設定値!K9&amp;拠点別設定値!N9</f>
        <v>X37:X58</v>
      </c>
      <c r="I26" s="45" t="str">
        <f>拠点別設定値!L9&amp;拠点別設定値!M9</f>
        <v>W37</v>
      </c>
      <c r="J26" s="45" t="s">
        <v>211</v>
      </c>
      <c r="K26" s="45"/>
      <c r="L26" s="45" t="str">
        <f t="shared" si="0"/>
        <v>有</v>
      </c>
    </row>
    <row r="27" spans="1:12" ht="18.75" customHeight="1">
      <c r="A27" s="45" t="str">
        <f>拠点別設定値!D9</f>
        <v>仙台</v>
      </c>
      <c r="B27" s="45" t="s">
        <v>145</v>
      </c>
      <c r="C27" s="45" t="s">
        <v>210</v>
      </c>
      <c r="D27" s="45" t="str">
        <f>拠点別設定値!BC9</f>
        <v>欠品</v>
      </c>
      <c r="E27" s="45">
        <v>2</v>
      </c>
      <c r="F27" s="45">
        <f>拠点別設定値!J9</f>
        <v>23</v>
      </c>
      <c r="G27" s="45">
        <v>2</v>
      </c>
      <c r="H27" s="45" t="str">
        <f>拠点別設定値!K9&amp;(拠点別設定値!M9+1)&amp;":"&amp;拠点別設定値!K9&amp;(拠点別設定値!M9+2)</f>
        <v>X38:X39</v>
      </c>
      <c r="I27" s="45" t="str">
        <f>拠点別設定値!L9&amp;(拠点別設定値!M9+1)</f>
        <v>W38</v>
      </c>
      <c r="J27" s="45" t="s">
        <v>212</v>
      </c>
      <c r="K27" s="45" t="s">
        <v>213</v>
      </c>
      <c r="L27" s="45" t="str">
        <f t="shared" si="0"/>
        <v>無</v>
      </c>
    </row>
    <row r="28" spans="1:12" ht="14.25" customHeight="1">
      <c r="A28" s="45" t="str">
        <f>拠点別設定値!D9</f>
        <v>仙台</v>
      </c>
      <c r="B28" s="45" t="s">
        <v>146</v>
      </c>
      <c r="C28" s="45" t="s">
        <v>210</v>
      </c>
      <c r="D28" s="45" t="str">
        <f>拠点別設定値!BD9</f>
        <v>在庫額</v>
      </c>
      <c r="E28" s="45">
        <v>2</v>
      </c>
      <c r="F28" s="45">
        <f>拠点別設定値!O9</f>
        <v>23</v>
      </c>
      <c r="G28" s="45">
        <v>1</v>
      </c>
      <c r="H28" s="45" t="str">
        <f>拠点別設定値!P9&amp;拠点別設定値!R9&amp;":"&amp;拠点別設定値!P9&amp;拠点別設定値!S9</f>
        <v>X37:X60</v>
      </c>
      <c r="I28" s="45" t="str">
        <f>拠点別設定値!Q9&amp;拠点別設定値!R9</f>
        <v>W37</v>
      </c>
      <c r="J28" s="45" t="s">
        <v>211</v>
      </c>
      <c r="K28" s="45"/>
      <c r="L28" s="45" t="str">
        <f t="shared" si="0"/>
        <v>有</v>
      </c>
    </row>
    <row r="29" spans="1:12" ht="18.75" customHeight="1">
      <c r="A29" s="45" t="str">
        <f>拠点別設定値!D9</f>
        <v>仙台</v>
      </c>
      <c r="B29" s="45" t="s">
        <v>146</v>
      </c>
      <c r="C29" s="45" t="s">
        <v>210</v>
      </c>
      <c r="D29" s="45" t="str">
        <f>拠点別設定値!BD9</f>
        <v>在庫額</v>
      </c>
      <c r="E29" s="45">
        <v>2</v>
      </c>
      <c r="F29" s="45">
        <f>拠点別設定値!O9</f>
        <v>23</v>
      </c>
      <c r="G29" s="45">
        <v>2</v>
      </c>
      <c r="H29" s="45" t="str">
        <f>拠点別設定値!P9&amp;(拠点別設定値!R9+1)&amp;":"&amp;拠点別設定値!P9&amp;(拠点別設定値!R9+2)</f>
        <v>X38:X39</v>
      </c>
      <c r="I29" s="45" t="str">
        <f>拠点別設定値!Q9&amp;(拠点別設定値!R9+1)</f>
        <v>W38</v>
      </c>
      <c r="J29" s="45" t="s">
        <v>212</v>
      </c>
      <c r="K29" s="45" t="s">
        <v>213</v>
      </c>
      <c r="L29" s="45" t="str">
        <f t="shared" si="0"/>
        <v>無</v>
      </c>
    </row>
    <row r="30" spans="1:12" ht="14.25" customHeight="1">
      <c r="A30" s="45" t="str">
        <f>拠点別設定値!D10</f>
        <v>福岡</v>
      </c>
      <c r="B30" s="45" t="s">
        <v>145</v>
      </c>
      <c r="C30" s="45" t="s">
        <v>210</v>
      </c>
      <c r="D30" s="45" t="str">
        <f>拠点別設定値!BC10</f>
        <v>欠品</v>
      </c>
      <c r="E30" s="45">
        <v>2</v>
      </c>
      <c r="F30" s="45">
        <f>拠点別設定値!J10</f>
        <v>23</v>
      </c>
      <c r="G30" s="45">
        <v>1</v>
      </c>
      <c r="H30" s="45" t="str">
        <f>拠点別設定値!K10&amp;拠点別設定値!M10&amp;":"&amp;拠点別設定値!K10&amp;拠点別設定値!N10</f>
        <v>X29:X50</v>
      </c>
      <c r="I30" s="45" t="str">
        <f>拠点別設定値!L10&amp;拠点別設定値!M10</f>
        <v>W29</v>
      </c>
      <c r="J30" s="45" t="s">
        <v>211</v>
      </c>
      <c r="K30" s="45"/>
      <c r="L30" s="45" t="str">
        <f t="shared" si="0"/>
        <v>有</v>
      </c>
    </row>
    <row r="31" spans="1:12" ht="18.75" customHeight="1">
      <c r="A31" s="45" t="str">
        <f>拠点別設定値!D10</f>
        <v>福岡</v>
      </c>
      <c r="B31" s="45" t="s">
        <v>145</v>
      </c>
      <c r="C31" s="45" t="s">
        <v>210</v>
      </c>
      <c r="D31" s="45" t="str">
        <f>拠点別設定値!BC10</f>
        <v>欠品</v>
      </c>
      <c r="E31" s="45">
        <v>2</v>
      </c>
      <c r="F31" s="45">
        <f>拠点別設定値!J10</f>
        <v>23</v>
      </c>
      <c r="G31" s="45">
        <v>2</v>
      </c>
      <c r="H31" s="45" t="str">
        <f>拠点別設定値!K10&amp;(拠点別設定値!M10+1)&amp;":"&amp;拠点別設定値!K10&amp;(拠点別設定値!M10+2)</f>
        <v>X30:X31</v>
      </c>
      <c r="I31" s="45" t="str">
        <f>拠点別設定値!L10&amp;(拠点別設定値!M10+1)</f>
        <v>W30</v>
      </c>
      <c r="J31" s="45" t="s">
        <v>212</v>
      </c>
      <c r="K31" s="45" t="s">
        <v>213</v>
      </c>
      <c r="L31" s="45" t="str">
        <f t="shared" si="0"/>
        <v>無</v>
      </c>
    </row>
    <row r="32" spans="1:12" ht="14.25" customHeight="1">
      <c r="A32" s="45" t="str">
        <f>拠点別設定値!D10</f>
        <v>福岡</v>
      </c>
      <c r="B32" s="45" t="s">
        <v>146</v>
      </c>
      <c r="C32" s="45" t="s">
        <v>210</v>
      </c>
      <c r="D32" s="45" t="str">
        <f>拠点別設定値!BD10</f>
        <v>在庫額</v>
      </c>
      <c r="E32" s="45">
        <v>2</v>
      </c>
      <c r="F32" s="45">
        <f>拠点別設定値!O10</f>
        <v>20</v>
      </c>
      <c r="G32" s="45">
        <v>1</v>
      </c>
      <c r="H32" s="45" t="str">
        <f>拠点別設定値!P10&amp;拠点別設定値!R10&amp;":"&amp;拠点別設定値!P10&amp;拠点別設定値!S10</f>
        <v>U32:U54</v>
      </c>
      <c r="I32" s="45" t="str">
        <f>拠点別設定値!Q10&amp;拠点別設定値!R10</f>
        <v>T32</v>
      </c>
      <c r="J32" s="45" t="s">
        <v>211</v>
      </c>
      <c r="K32" s="45"/>
      <c r="L32" s="45" t="str">
        <f t="shared" si="0"/>
        <v>有</v>
      </c>
    </row>
    <row r="33" spans="1:12" ht="18.75" customHeight="1">
      <c r="A33" s="45" t="str">
        <f>拠点別設定値!D10</f>
        <v>福岡</v>
      </c>
      <c r="B33" s="45" t="s">
        <v>146</v>
      </c>
      <c r="C33" s="45" t="s">
        <v>210</v>
      </c>
      <c r="D33" s="45" t="str">
        <f>拠点別設定値!BD10</f>
        <v>在庫額</v>
      </c>
      <c r="E33" s="45">
        <v>2</v>
      </c>
      <c r="F33" s="45">
        <f>拠点別設定値!O10</f>
        <v>20</v>
      </c>
      <c r="G33" s="45">
        <v>2</v>
      </c>
      <c r="H33" s="45" t="str">
        <f>拠点別設定値!P10&amp;(拠点別設定値!R10+1)&amp;":"&amp;拠点別設定値!P10&amp;(拠点別設定値!R10+2)</f>
        <v>U33:U34</v>
      </c>
      <c r="I33" s="45" t="str">
        <f>拠点別設定値!Q10&amp;(拠点別設定値!R10+1)</f>
        <v>T33</v>
      </c>
      <c r="J33" s="45" t="s">
        <v>212</v>
      </c>
      <c r="K33" s="45" t="s">
        <v>213</v>
      </c>
      <c r="L33" s="45" t="str">
        <f t="shared" si="0"/>
        <v>無</v>
      </c>
    </row>
    <row r="34" spans="1:12" ht="14.25" customHeight="1">
      <c r="A34" s="45" t="str">
        <f>拠点別設定値!D11</f>
        <v>東京</v>
      </c>
      <c r="B34" s="45" t="s">
        <v>145</v>
      </c>
      <c r="C34" s="45" t="s">
        <v>210</v>
      </c>
      <c r="D34" s="45" t="str">
        <f>拠点別設定値!BC11</f>
        <v>欠品</v>
      </c>
      <c r="E34" s="45">
        <v>2</v>
      </c>
      <c r="F34" s="45">
        <f>拠点別設定値!J11</f>
        <v>25</v>
      </c>
      <c r="G34" s="45">
        <v>1</v>
      </c>
      <c r="H34" s="45" t="str">
        <f>拠点別設定値!K11&amp;拠点別設定値!M11&amp;":"&amp;拠点別設定値!K11&amp;拠点別設定値!N11</f>
        <v>Z27:Z48</v>
      </c>
      <c r="I34" s="45" t="str">
        <f>拠点別設定値!L11&amp;拠点別設定値!M11</f>
        <v>Y27</v>
      </c>
      <c r="J34" s="45" t="s">
        <v>211</v>
      </c>
      <c r="K34" s="45"/>
      <c r="L34" s="45" t="str">
        <f t="shared" si="0"/>
        <v>有</v>
      </c>
    </row>
    <row r="35" spans="1:12" ht="18.75" customHeight="1">
      <c r="A35" s="45" t="str">
        <f>拠点別設定値!D11</f>
        <v>東京</v>
      </c>
      <c r="B35" s="45" t="s">
        <v>145</v>
      </c>
      <c r="C35" s="45" t="s">
        <v>210</v>
      </c>
      <c r="D35" s="45" t="str">
        <f>拠点別設定値!BC11</f>
        <v>欠品</v>
      </c>
      <c r="E35" s="45">
        <v>2</v>
      </c>
      <c r="F35" s="45">
        <f>拠点別設定値!J11</f>
        <v>25</v>
      </c>
      <c r="G35" s="45">
        <v>2</v>
      </c>
      <c r="H35" s="45" t="str">
        <f>拠点別設定値!K11&amp;(拠点別設定値!M11+1)&amp;":"&amp;拠点別設定値!K11&amp;(拠点別設定値!M11+2)</f>
        <v>Z28:Z29</v>
      </c>
      <c r="I35" s="45" t="str">
        <f>拠点別設定値!L11&amp;(拠点別設定値!M11+1)</f>
        <v>Y28</v>
      </c>
      <c r="J35" s="45" t="s">
        <v>212</v>
      </c>
      <c r="K35" s="45" t="s">
        <v>213</v>
      </c>
      <c r="L35" s="45" t="str">
        <f t="shared" si="0"/>
        <v>無</v>
      </c>
    </row>
    <row r="36" spans="1:12" ht="14.25" customHeight="1">
      <c r="A36" s="45" t="str">
        <f>拠点別設定値!D11</f>
        <v>東京</v>
      </c>
      <c r="B36" s="45" t="s">
        <v>146</v>
      </c>
      <c r="C36" s="45" t="s">
        <v>210</v>
      </c>
      <c r="D36" s="45" t="str">
        <f>拠点別設定値!BD11</f>
        <v>在庫額</v>
      </c>
      <c r="E36" s="45">
        <v>2</v>
      </c>
      <c r="F36" s="45">
        <f>拠点別設定値!O11</f>
        <v>23</v>
      </c>
      <c r="G36" s="45">
        <v>1</v>
      </c>
      <c r="H36" s="45" t="str">
        <f>拠点別設定値!P11&amp;拠点別設定値!R11&amp;":"&amp;拠点別設定値!P11&amp;拠点別設定値!S11</f>
        <v>X29:X52</v>
      </c>
      <c r="I36" s="45" t="str">
        <f>拠点別設定値!Q11&amp;拠点別設定値!R11</f>
        <v>W29</v>
      </c>
      <c r="J36" s="45" t="s">
        <v>211</v>
      </c>
      <c r="K36" s="45"/>
      <c r="L36" s="45" t="str">
        <f t="shared" si="0"/>
        <v>有</v>
      </c>
    </row>
    <row r="37" spans="1:12" ht="18.75" customHeight="1">
      <c r="A37" s="45" t="str">
        <f>拠点別設定値!D11</f>
        <v>東京</v>
      </c>
      <c r="B37" s="45" t="s">
        <v>146</v>
      </c>
      <c r="C37" s="45" t="s">
        <v>210</v>
      </c>
      <c r="D37" s="45" t="str">
        <f>拠点別設定値!BD11</f>
        <v>在庫額</v>
      </c>
      <c r="E37" s="45">
        <v>2</v>
      </c>
      <c r="F37" s="45">
        <f>拠点別設定値!O11</f>
        <v>23</v>
      </c>
      <c r="G37" s="45">
        <v>2</v>
      </c>
      <c r="H37" s="45" t="str">
        <f>拠点別設定値!P11&amp;(拠点別設定値!R11+1)&amp;":"&amp;拠点別設定値!P11&amp;(拠点別設定値!R11+2)</f>
        <v>X30:X31</v>
      </c>
      <c r="I37" s="45" t="str">
        <f>拠点別設定値!Q11&amp;(拠点別設定値!R11+1)</f>
        <v>W30</v>
      </c>
      <c r="J37" s="45" t="s">
        <v>212</v>
      </c>
      <c r="K37" s="45" t="s">
        <v>213</v>
      </c>
      <c r="L37" s="45" t="str">
        <f t="shared" si="0"/>
        <v>無</v>
      </c>
    </row>
    <row r="38" spans="1:12" ht="14.25" customHeight="1">
      <c r="A38" s="46" t="str">
        <f>拠点別設定値!D12</f>
        <v>成果連絡表(色物)</v>
      </c>
      <c r="B38" s="46" t="s">
        <v>145</v>
      </c>
      <c r="C38" s="46" t="s">
        <v>214</v>
      </c>
      <c r="D38" s="46" t="str">
        <f>拠点別設定値!BE12</f>
        <v>欠品</v>
      </c>
      <c r="E38" s="46">
        <v>2</v>
      </c>
      <c r="F38" s="46">
        <f>拠点別設定値!AL12</f>
        <v>28</v>
      </c>
      <c r="G38" s="46">
        <v>1</v>
      </c>
      <c r="H38" s="46" t="str">
        <f>拠点別設定値!AM12&amp;拠点別設定値!AO12&amp;":"&amp;拠点別設定値!AM12&amp;拠点別設定値!AP12</f>
        <v>AC41:AC61</v>
      </c>
      <c r="I38" s="46" t="str">
        <f>拠点別設定値!AN12&amp;拠点別設定値!AO12</f>
        <v>AB41</v>
      </c>
      <c r="J38" s="46" t="s">
        <v>211</v>
      </c>
      <c r="K38" s="46"/>
      <c r="L38" s="46" t="str">
        <f t="shared" si="0"/>
        <v>有</v>
      </c>
    </row>
    <row r="39" spans="1:12" ht="18.75" customHeight="1">
      <c r="A39" s="46" t="str">
        <f>拠点別設定値!D12</f>
        <v>成果連絡表(色物)</v>
      </c>
      <c r="B39" s="46" t="s">
        <v>145</v>
      </c>
      <c r="C39" s="46" t="s">
        <v>214</v>
      </c>
      <c r="D39" s="46" t="str">
        <f>拠点別設定値!BE12</f>
        <v>欠品</v>
      </c>
      <c r="E39" s="46">
        <v>2</v>
      </c>
      <c r="F39" s="46">
        <f>拠点別設定値!AL12</f>
        <v>28</v>
      </c>
      <c r="G39" s="46">
        <v>2</v>
      </c>
      <c r="H39" s="46" t="str">
        <f>拠点別設定値!AM12&amp;(拠点別設定値!AO12+1)&amp;":"&amp;拠点別設定値!AM12&amp;(拠点別設定値!AO12+2)</f>
        <v>AC42:AC43</v>
      </c>
      <c r="I39" s="46" t="str">
        <f>拠点別設定値!AN12&amp;(拠点別設定値!AO12+1)</f>
        <v>AB42</v>
      </c>
      <c r="J39" s="46" t="s">
        <v>212</v>
      </c>
      <c r="K39" s="46" t="s">
        <v>213</v>
      </c>
      <c r="L39" s="46" t="str">
        <f t="shared" si="0"/>
        <v>無</v>
      </c>
    </row>
    <row r="40" spans="1:12" ht="14.25" customHeight="1">
      <c r="A40" s="46" t="str">
        <f>拠点別設定値!D12</f>
        <v>成果連絡表(色物)</v>
      </c>
      <c r="B40" s="46" t="s">
        <v>146</v>
      </c>
      <c r="C40" s="46" t="s">
        <v>214</v>
      </c>
      <c r="D40" s="46" t="str">
        <f>拠点別設定値!BF12</f>
        <v>発注点割れ</v>
      </c>
      <c r="E40" s="46">
        <v>2</v>
      </c>
      <c r="F40" s="46">
        <f>拠点別設定値!AQ12</f>
        <v>30</v>
      </c>
      <c r="G40" s="46">
        <v>1</v>
      </c>
      <c r="H40" s="46" t="str">
        <f>拠点別設定値!AR12&amp;拠点別設定値!AT12&amp;":"&amp;拠点別設定値!AR12&amp;拠点別設定値!AU12</f>
        <v>AE41:AE61</v>
      </c>
      <c r="I40" s="46" t="str">
        <f>拠点別設定値!AS12&amp;拠点別設定値!AT12</f>
        <v>AD41</v>
      </c>
      <c r="J40" s="46" t="s">
        <v>211</v>
      </c>
      <c r="K40" s="46"/>
      <c r="L40" s="46" t="str">
        <f t="shared" si="0"/>
        <v>有</v>
      </c>
    </row>
    <row r="41" spans="1:12" ht="18.75" customHeight="1">
      <c r="A41" s="46" t="str">
        <f>拠点別設定値!D12</f>
        <v>成果連絡表(色物)</v>
      </c>
      <c r="B41" s="46" t="s">
        <v>146</v>
      </c>
      <c r="C41" s="46" t="s">
        <v>214</v>
      </c>
      <c r="D41" s="46" t="str">
        <f>拠点別設定値!BF12</f>
        <v>発注点割れ</v>
      </c>
      <c r="E41" s="46">
        <v>2</v>
      </c>
      <c r="F41" s="46">
        <f>拠点別設定値!AQ12</f>
        <v>30</v>
      </c>
      <c r="G41" s="46">
        <v>2</v>
      </c>
      <c r="H41" s="46" t="str">
        <f>拠点別設定値!AR12&amp;(拠点別設定値!AT12+1)&amp;":"&amp;拠点別設定値!AR12&amp;(拠点別設定値!AT12+2)</f>
        <v>AE42:AE43</v>
      </c>
      <c r="I41" s="46" t="str">
        <f>拠点別設定値!AS12&amp;(拠点別設定値!AT12+1)</f>
        <v>AD42</v>
      </c>
      <c r="J41" s="46" t="s">
        <v>212</v>
      </c>
      <c r="K41" s="46" t="s">
        <v>213</v>
      </c>
      <c r="L41" s="46" t="str">
        <f t="shared" si="0"/>
        <v>無</v>
      </c>
    </row>
  </sheetData>
  <phoneticPr fontId="2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showGridLines="0" workbookViewId="0"/>
  </sheetViews>
  <sheetFormatPr defaultColWidth="8.5" defaultRowHeight="13.5"/>
  <cols>
    <col min="1" max="1" width="16" customWidth="1"/>
    <col min="2" max="2" width="22" customWidth="1"/>
    <col min="3" max="3" width="10" customWidth="1"/>
    <col min="4" max="4" width="46" customWidth="1"/>
    <col min="5" max="5" width="30" customWidth="1"/>
  </cols>
  <sheetData>
    <row r="1" spans="1:5" ht="19.5" customHeight="1">
      <c r="A1" s="17" t="s">
        <v>199</v>
      </c>
      <c r="B1" s="17" t="s">
        <v>215</v>
      </c>
      <c r="C1" s="17" t="s">
        <v>216</v>
      </c>
      <c r="D1" s="17" t="s">
        <v>217</v>
      </c>
      <c r="E1" s="17" t="s">
        <v>208</v>
      </c>
    </row>
    <row r="2" spans="1:5" ht="16.5" customHeight="1">
      <c r="A2" s="97" t="s">
        <v>71</v>
      </c>
      <c r="B2" s="47" t="s">
        <v>3</v>
      </c>
      <c r="C2" s="47" t="s">
        <v>218</v>
      </c>
      <c r="D2" s="48" t="s">
        <v>219</v>
      </c>
      <c r="E2" s="48"/>
    </row>
    <row r="3" spans="1:5" ht="16.5" customHeight="1">
      <c r="A3" s="99"/>
      <c r="B3" s="47" t="s">
        <v>4</v>
      </c>
      <c r="C3" s="47" t="s">
        <v>218</v>
      </c>
      <c r="D3" s="49" t="s">
        <v>220</v>
      </c>
      <c r="E3" s="49"/>
    </row>
    <row r="4" spans="1:5" ht="16.5" customHeight="1">
      <c r="A4" s="99"/>
      <c r="B4" s="50" t="s">
        <v>77</v>
      </c>
      <c r="C4" s="47" t="s">
        <v>218</v>
      </c>
      <c r="D4" s="48" t="s">
        <v>221</v>
      </c>
      <c r="E4" s="49" t="s">
        <v>222</v>
      </c>
    </row>
    <row r="5" spans="1:5" ht="16.5" customHeight="1">
      <c r="A5" s="99"/>
      <c r="B5" s="50" t="s">
        <v>78</v>
      </c>
      <c r="C5" s="47" t="s">
        <v>218</v>
      </c>
      <c r="D5" s="48" t="s">
        <v>223</v>
      </c>
      <c r="E5" s="49"/>
    </row>
    <row r="6" spans="1:5" ht="16.5" customHeight="1">
      <c r="A6" s="99"/>
      <c r="B6" s="47" t="s">
        <v>79</v>
      </c>
      <c r="C6" s="47" t="s">
        <v>218</v>
      </c>
      <c r="D6" s="49" t="s">
        <v>224</v>
      </c>
      <c r="E6" s="49"/>
    </row>
    <row r="7" spans="1:5" ht="16.5" customHeight="1">
      <c r="A7" s="98"/>
      <c r="B7" s="47" t="s">
        <v>81</v>
      </c>
      <c r="C7" s="47" t="s">
        <v>218</v>
      </c>
      <c r="D7" s="49" t="s">
        <v>225</v>
      </c>
      <c r="E7" s="49"/>
    </row>
    <row r="8" spans="1:5" ht="16.5" customHeight="1">
      <c r="A8" s="97" t="s">
        <v>226</v>
      </c>
      <c r="B8" s="47" t="s">
        <v>82</v>
      </c>
      <c r="C8" s="47" t="s">
        <v>227</v>
      </c>
      <c r="D8" s="49" t="s">
        <v>228</v>
      </c>
      <c r="E8" s="49" t="s">
        <v>229</v>
      </c>
    </row>
    <row r="9" spans="1:5" ht="16.5" customHeight="1">
      <c r="A9" s="99"/>
      <c r="B9" s="47" t="s">
        <v>83</v>
      </c>
      <c r="C9" s="47" t="s">
        <v>230</v>
      </c>
      <c r="D9" s="49" t="s">
        <v>231</v>
      </c>
      <c r="E9" s="49"/>
    </row>
    <row r="10" spans="1:5" ht="16.5" customHeight="1">
      <c r="A10" s="99"/>
      <c r="B10" s="47" t="s">
        <v>84</v>
      </c>
      <c r="C10" s="47" t="s">
        <v>230</v>
      </c>
      <c r="D10" s="49" t="s">
        <v>232</v>
      </c>
      <c r="E10" s="49"/>
    </row>
    <row r="11" spans="1:5" ht="16.5" customHeight="1">
      <c r="A11" s="99"/>
      <c r="B11" s="47" t="s">
        <v>85</v>
      </c>
      <c r="C11" s="47" t="s">
        <v>227</v>
      </c>
      <c r="D11" s="49" t="s">
        <v>233</v>
      </c>
      <c r="E11" s="49" t="s">
        <v>234</v>
      </c>
    </row>
    <row r="12" spans="1:5" ht="16.5" customHeight="1">
      <c r="A12" s="98"/>
      <c r="B12" s="47" t="s">
        <v>86</v>
      </c>
      <c r="C12" s="47" t="s">
        <v>227</v>
      </c>
      <c r="D12" s="49" t="s">
        <v>235</v>
      </c>
      <c r="E12" s="49" t="s">
        <v>234</v>
      </c>
    </row>
    <row r="13" spans="1:5" ht="16.5" customHeight="1">
      <c r="A13" s="97" t="s">
        <v>236</v>
      </c>
      <c r="B13" s="47" t="s">
        <v>87</v>
      </c>
      <c r="C13" s="47" t="s">
        <v>227</v>
      </c>
      <c r="D13" s="49" t="s">
        <v>237</v>
      </c>
      <c r="E13" s="49" t="s">
        <v>229</v>
      </c>
    </row>
    <row r="14" spans="1:5" ht="16.5" customHeight="1">
      <c r="A14" s="99"/>
      <c r="B14" s="47" t="s">
        <v>88</v>
      </c>
      <c r="C14" s="47" t="s">
        <v>230</v>
      </c>
      <c r="D14" s="49" t="s">
        <v>238</v>
      </c>
      <c r="E14" s="49"/>
    </row>
    <row r="15" spans="1:5" ht="16.5" customHeight="1">
      <c r="A15" s="99"/>
      <c r="B15" s="47" t="s">
        <v>89</v>
      </c>
      <c r="C15" s="47" t="s">
        <v>230</v>
      </c>
      <c r="D15" s="49" t="s">
        <v>239</v>
      </c>
      <c r="E15" s="49"/>
    </row>
    <row r="16" spans="1:5" ht="16.5" customHeight="1">
      <c r="A16" s="99"/>
      <c r="B16" s="47" t="s">
        <v>90</v>
      </c>
      <c r="C16" s="47" t="s">
        <v>227</v>
      </c>
      <c r="D16" s="49" t="s">
        <v>240</v>
      </c>
      <c r="E16" s="49" t="s">
        <v>234</v>
      </c>
    </row>
    <row r="17" spans="1:5" ht="16.5" customHeight="1">
      <c r="A17" s="98"/>
      <c r="B17" s="47" t="s">
        <v>91</v>
      </c>
      <c r="C17" s="47" t="s">
        <v>227</v>
      </c>
      <c r="D17" s="49" t="s">
        <v>241</v>
      </c>
      <c r="E17" s="49" t="s">
        <v>234</v>
      </c>
    </row>
    <row r="18" spans="1:5" ht="16.5" customHeight="1">
      <c r="A18" s="100" t="s">
        <v>242</v>
      </c>
      <c r="B18" s="50" t="s">
        <v>92</v>
      </c>
      <c r="C18" s="47" t="s">
        <v>230</v>
      </c>
      <c r="D18" s="48" t="s">
        <v>243</v>
      </c>
      <c r="E18" s="49"/>
    </row>
    <row r="19" spans="1:5" ht="16.5" customHeight="1">
      <c r="A19" s="99"/>
      <c r="B19" s="50" t="s">
        <v>93</v>
      </c>
      <c r="C19" s="47" t="s">
        <v>227</v>
      </c>
      <c r="D19" s="48" t="s">
        <v>244</v>
      </c>
      <c r="E19" s="49" t="s">
        <v>245</v>
      </c>
    </row>
    <row r="20" spans="1:5" ht="16.5" customHeight="1">
      <c r="A20" s="98"/>
      <c r="B20" s="47" t="s">
        <v>94</v>
      </c>
      <c r="C20" s="47" t="s">
        <v>227</v>
      </c>
      <c r="D20" s="49" t="s">
        <v>246</v>
      </c>
      <c r="E20" s="49" t="s">
        <v>247</v>
      </c>
    </row>
    <row r="21" spans="1:5" ht="16.5" customHeight="1">
      <c r="A21" s="97" t="s">
        <v>248</v>
      </c>
      <c r="B21" s="47" t="s">
        <v>95</v>
      </c>
      <c r="C21" s="47" t="s">
        <v>249</v>
      </c>
      <c r="D21" s="49" t="s">
        <v>250</v>
      </c>
      <c r="E21" s="49" t="s">
        <v>251</v>
      </c>
    </row>
    <row r="22" spans="1:5" ht="33" customHeight="1">
      <c r="A22" s="99"/>
      <c r="B22" s="47" t="s">
        <v>96</v>
      </c>
      <c r="C22" s="47" t="s">
        <v>249</v>
      </c>
      <c r="D22" s="49" t="s">
        <v>252</v>
      </c>
      <c r="E22" s="49" t="s">
        <v>251</v>
      </c>
    </row>
    <row r="23" spans="1:5" ht="16.5" customHeight="1">
      <c r="A23" s="99"/>
      <c r="B23" s="50" t="s">
        <v>97</v>
      </c>
      <c r="C23" s="47" t="s">
        <v>249</v>
      </c>
      <c r="D23" s="49" t="s">
        <v>253</v>
      </c>
      <c r="E23" s="49" t="s">
        <v>254</v>
      </c>
    </row>
    <row r="24" spans="1:5" ht="33" customHeight="1">
      <c r="A24" s="99"/>
      <c r="B24" s="50" t="s">
        <v>98</v>
      </c>
      <c r="C24" s="47" t="s">
        <v>249</v>
      </c>
      <c r="D24" s="48" t="s">
        <v>255</v>
      </c>
      <c r="E24" s="48" t="s">
        <v>256</v>
      </c>
    </row>
    <row r="25" spans="1:5" ht="16.5" customHeight="1">
      <c r="A25" s="99"/>
      <c r="B25" s="47" t="s">
        <v>99</v>
      </c>
      <c r="C25" s="47" t="s">
        <v>249</v>
      </c>
      <c r="D25" s="48" t="s">
        <v>257</v>
      </c>
      <c r="E25" s="48" t="s">
        <v>258</v>
      </c>
    </row>
    <row r="26" spans="1:5" ht="16.5" customHeight="1">
      <c r="A26" s="98"/>
      <c r="B26" s="50" t="s">
        <v>100</v>
      </c>
      <c r="C26" s="47" t="s">
        <v>249</v>
      </c>
      <c r="D26" s="48" t="s">
        <v>259</v>
      </c>
      <c r="E26" s="49" t="s">
        <v>260</v>
      </c>
    </row>
    <row r="27" spans="1:5" ht="16.5" customHeight="1">
      <c r="A27" s="97" t="s">
        <v>261</v>
      </c>
      <c r="B27" s="47" t="s">
        <v>101</v>
      </c>
      <c r="C27" s="47" t="s">
        <v>249</v>
      </c>
      <c r="D27" s="48" t="s">
        <v>262</v>
      </c>
      <c r="E27" s="49" t="s">
        <v>251</v>
      </c>
    </row>
    <row r="28" spans="1:5" ht="16.5" customHeight="1">
      <c r="A28" s="98"/>
      <c r="B28" s="51" t="s">
        <v>102</v>
      </c>
      <c r="C28" s="51" t="s">
        <v>218</v>
      </c>
      <c r="D28" s="52" t="s">
        <v>263</v>
      </c>
      <c r="E28" s="53" t="s">
        <v>264</v>
      </c>
    </row>
    <row r="29" spans="1:5" ht="26.25" customHeight="1">
      <c r="A29" s="54" t="s">
        <v>265</v>
      </c>
      <c r="B29" s="55" t="s">
        <v>103</v>
      </c>
      <c r="C29" s="54" t="s">
        <v>227</v>
      </c>
      <c r="D29" s="55" t="s">
        <v>266</v>
      </c>
      <c r="E29" s="54" t="s">
        <v>267</v>
      </c>
    </row>
    <row r="30" spans="1:5" ht="13.5" customHeight="1">
      <c r="A30" s="55"/>
      <c r="B30" s="54" t="s">
        <v>104</v>
      </c>
      <c r="C30" s="54" t="s">
        <v>218</v>
      </c>
      <c r="D30" s="55" t="s">
        <v>268</v>
      </c>
      <c r="E30" s="55" t="s">
        <v>269</v>
      </c>
    </row>
    <row r="31" spans="1:5" ht="13.5" customHeight="1">
      <c r="A31" s="55"/>
      <c r="B31" s="54" t="s">
        <v>105</v>
      </c>
      <c r="C31" s="54" t="s">
        <v>218</v>
      </c>
      <c r="D31" s="55" t="s">
        <v>270</v>
      </c>
      <c r="E31" s="55" t="s">
        <v>271</v>
      </c>
    </row>
    <row r="32" spans="1:5" ht="13.5" customHeight="1">
      <c r="A32" s="55"/>
      <c r="B32" s="54" t="s">
        <v>106</v>
      </c>
      <c r="C32" s="54" t="s">
        <v>218</v>
      </c>
      <c r="D32" s="55" t="s">
        <v>272</v>
      </c>
      <c r="E32" s="54" t="s">
        <v>273</v>
      </c>
    </row>
    <row r="33" spans="1:5" ht="13.5" customHeight="1">
      <c r="A33" s="55"/>
      <c r="B33" s="54" t="s">
        <v>107</v>
      </c>
      <c r="C33" s="54" t="s">
        <v>274</v>
      </c>
      <c r="D33" s="54" t="s">
        <v>275</v>
      </c>
      <c r="E33" s="54" t="s">
        <v>276</v>
      </c>
    </row>
    <row r="34" spans="1:5" ht="13.5" customHeight="1">
      <c r="A34" s="55"/>
      <c r="B34" s="54" t="s">
        <v>108</v>
      </c>
      <c r="C34" s="54" t="s">
        <v>274</v>
      </c>
      <c r="D34" s="54" t="s">
        <v>277</v>
      </c>
      <c r="E34" s="54" t="s">
        <v>278</v>
      </c>
    </row>
    <row r="35" spans="1:5" ht="13.5" customHeight="1">
      <c r="A35" s="55"/>
      <c r="B35" s="54" t="s">
        <v>109</v>
      </c>
      <c r="C35" s="54" t="s">
        <v>227</v>
      </c>
      <c r="D35" s="54" t="s">
        <v>279</v>
      </c>
      <c r="E35" s="54" t="s">
        <v>280</v>
      </c>
    </row>
    <row r="36" spans="1:5" ht="26.25" customHeight="1">
      <c r="A36" s="54" t="s">
        <v>281</v>
      </c>
      <c r="B36" s="54" t="s">
        <v>110</v>
      </c>
      <c r="C36" s="54" t="s">
        <v>227</v>
      </c>
      <c r="D36" s="54" t="s">
        <v>282</v>
      </c>
      <c r="E36" s="54" t="s">
        <v>283</v>
      </c>
    </row>
    <row r="37" spans="1:5" ht="13.5" customHeight="1">
      <c r="A37" s="55"/>
      <c r="B37" s="54" t="s">
        <v>111</v>
      </c>
      <c r="C37" s="54" t="s">
        <v>230</v>
      </c>
      <c r="D37" s="54" t="s">
        <v>284</v>
      </c>
      <c r="E37" s="54" t="s">
        <v>285</v>
      </c>
    </row>
    <row r="38" spans="1:5" ht="13.5" customHeight="1">
      <c r="A38" s="55"/>
      <c r="B38" s="54" t="s">
        <v>112</v>
      </c>
      <c r="C38" s="54" t="s">
        <v>230</v>
      </c>
      <c r="D38" s="54" t="s">
        <v>286</v>
      </c>
      <c r="E38" s="54" t="s">
        <v>287</v>
      </c>
    </row>
    <row r="39" spans="1:5" ht="13.5" customHeight="1">
      <c r="A39" s="55"/>
      <c r="B39" s="54" t="s">
        <v>113</v>
      </c>
      <c r="C39" s="54" t="s">
        <v>227</v>
      </c>
      <c r="D39" s="54" t="s">
        <v>288</v>
      </c>
      <c r="E39" s="54" t="s">
        <v>289</v>
      </c>
    </row>
    <row r="40" spans="1:5" ht="13.5" customHeight="1">
      <c r="A40" s="55"/>
      <c r="B40" s="54" t="s">
        <v>114</v>
      </c>
      <c r="C40" s="54" t="s">
        <v>227</v>
      </c>
      <c r="D40" s="54" t="s">
        <v>290</v>
      </c>
      <c r="E40" s="54" t="s">
        <v>291</v>
      </c>
    </row>
    <row r="41" spans="1:5" ht="26.25" customHeight="1">
      <c r="A41" s="54" t="s">
        <v>292</v>
      </c>
      <c r="B41" s="54" t="s">
        <v>115</v>
      </c>
      <c r="C41" s="54" t="s">
        <v>227</v>
      </c>
      <c r="D41" s="54" t="s">
        <v>293</v>
      </c>
      <c r="E41" s="54" t="s">
        <v>283</v>
      </c>
    </row>
    <row r="42" spans="1:5" ht="13.5" customHeight="1">
      <c r="A42" s="55"/>
      <c r="B42" s="54" t="s">
        <v>116</v>
      </c>
      <c r="C42" s="54" t="s">
        <v>230</v>
      </c>
      <c r="D42" s="54" t="s">
        <v>294</v>
      </c>
      <c r="E42" s="54" t="s">
        <v>295</v>
      </c>
    </row>
    <row r="43" spans="1:5" ht="13.5" customHeight="1">
      <c r="A43" s="55"/>
      <c r="B43" s="54" t="s">
        <v>117</v>
      </c>
      <c r="C43" s="54" t="s">
        <v>230</v>
      </c>
      <c r="D43" s="54" t="s">
        <v>296</v>
      </c>
      <c r="E43" s="54" t="s">
        <v>297</v>
      </c>
    </row>
    <row r="44" spans="1:5" ht="13.5" customHeight="1">
      <c r="A44" s="55"/>
      <c r="B44" s="54" t="s">
        <v>118</v>
      </c>
      <c r="C44" s="54" t="s">
        <v>227</v>
      </c>
      <c r="D44" s="54" t="s">
        <v>298</v>
      </c>
      <c r="E44" s="54" t="s">
        <v>289</v>
      </c>
    </row>
    <row r="45" spans="1:5" ht="13.5" customHeight="1">
      <c r="A45" s="55"/>
      <c r="B45" s="54" t="s">
        <v>119</v>
      </c>
      <c r="C45" s="54" t="s">
        <v>227</v>
      </c>
      <c r="D45" s="54" t="s">
        <v>299</v>
      </c>
      <c r="E45" s="54" t="s">
        <v>291</v>
      </c>
    </row>
    <row r="46" spans="1:5" ht="33" customHeight="1">
      <c r="A46" s="56" t="s">
        <v>300</v>
      </c>
      <c r="B46" s="56" t="s">
        <v>120</v>
      </c>
      <c r="C46" s="56" t="s">
        <v>249</v>
      </c>
      <c r="D46" s="57" t="s">
        <v>301</v>
      </c>
      <c r="E46" s="58" t="s">
        <v>302</v>
      </c>
    </row>
    <row r="47" spans="1:5" ht="33" customHeight="1">
      <c r="A47" s="59"/>
      <c r="B47" s="60" t="s">
        <v>121</v>
      </c>
      <c r="C47" s="60" t="s">
        <v>218</v>
      </c>
      <c r="D47" s="30" t="s">
        <v>303</v>
      </c>
      <c r="E47" s="30" t="s">
        <v>304</v>
      </c>
    </row>
    <row r="48" spans="1:5" ht="33" customHeight="1">
      <c r="A48" s="60"/>
      <c r="B48" s="60" t="s">
        <v>122</v>
      </c>
      <c r="C48" s="60" t="s">
        <v>218</v>
      </c>
      <c r="D48" s="30" t="s">
        <v>305</v>
      </c>
      <c r="E48" s="30" t="s">
        <v>306</v>
      </c>
    </row>
    <row r="49" spans="1:5" ht="66" customHeight="1">
      <c r="A49" s="61" t="s">
        <v>72</v>
      </c>
      <c r="B49" s="62" t="s">
        <v>5</v>
      </c>
      <c r="C49" s="62" t="s">
        <v>249</v>
      </c>
      <c r="D49" s="63" t="s">
        <v>307</v>
      </c>
      <c r="E49" s="64" t="s">
        <v>308</v>
      </c>
    </row>
    <row r="50" spans="1:5" ht="82.5" customHeight="1">
      <c r="A50" s="61"/>
      <c r="B50" s="65" t="s">
        <v>123</v>
      </c>
      <c r="C50" s="62" t="s">
        <v>218</v>
      </c>
      <c r="D50" s="63" t="s">
        <v>309</v>
      </c>
      <c r="E50" s="64" t="s">
        <v>310</v>
      </c>
    </row>
    <row r="51" spans="1:5" ht="66" customHeight="1">
      <c r="A51" s="61" t="s">
        <v>73</v>
      </c>
      <c r="B51" s="62" t="s">
        <v>124</v>
      </c>
      <c r="C51" s="62" t="s">
        <v>227</v>
      </c>
      <c r="D51" s="63" t="s">
        <v>311</v>
      </c>
      <c r="E51" s="64" t="s">
        <v>312</v>
      </c>
    </row>
    <row r="52" spans="1:5" ht="198" customHeight="1">
      <c r="A52" s="61"/>
      <c r="B52" s="62" t="s">
        <v>125</v>
      </c>
      <c r="C52" s="62" t="s">
        <v>227</v>
      </c>
      <c r="D52" s="63" t="s">
        <v>313</v>
      </c>
      <c r="E52" s="64" t="s">
        <v>314</v>
      </c>
    </row>
    <row r="53" spans="1:5" ht="49.5" customHeight="1">
      <c r="A53" s="61" t="s">
        <v>71</v>
      </c>
      <c r="B53" s="62" t="s">
        <v>75</v>
      </c>
      <c r="C53" s="62" t="s">
        <v>249</v>
      </c>
      <c r="D53" s="63" t="s">
        <v>315</v>
      </c>
      <c r="E53" s="64" t="s">
        <v>316</v>
      </c>
    </row>
    <row r="54" spans="1:5" ht="49.5" customHeight="1">
      <c r="A54" s="61"/>
      <c r="B54" s="62" t="s">
        <v>76</v>
      </c>
      <c r="C54" s="62" t="s">
        <v>218</v>
      </c>
      <c r="D54" s="63" t="s">
        <v>317</v>
      </c>
      <c r="E54" s="64" t="s">
        <v>318</v>
      </c>
    </row>
    <row r="55" spans="1:5" ht="33" customHeight="1">
      <c r="A55" s="66" t="s">
        <v>319</v>
      </c>
      <c r="B55" s="67" t="s">
        <v>126</v>
      </c>
      <c r="C55" s="67" t="s">
        <v>218</v>
      </c>
      <c r="D55" s="67" t="s">
        <v>320</v>
      </c>
      <c r="E55" s="68" t="s">
        <v>321</v>
      </c>
    </row>
    <row r="56" spans="1:5" ht="47.25" customHeight="1">
      <c r="A56" s="67"/>
      <c r="B56" s="67" t="s">
        <v>127</v>
      </c>
      <c r="C56" s="67" t="s">
        <v>218</v>
      </c>
      <c r="D56" s="67" t="s">
        <v>322</v>
      </c>
      <c r="E56" s="68" t="s">
        <v>323</v>
      </c>
    </row>
    <row r="57" spans="1:5" ht="99" customHeight="1">
      <c r="A57" s="67"/>
      <c r="B57" s="67" t="s">
        <v>128</v>
      </c>
      <c r="C57" s="67" t="s">
        <v>218</v>
      </c>
      <c r="D57" s="67" t="s">
        <v>324</v>
      </c>
      <c r="E57" s="68" t="s">
        <v>325</v>
      </c>
    </row>
    <row r="58" spans="1:5" ht="51.75" customHeight="1">
      <c r="A58" s="67"/>
      <c r="B58" s="67" t="s">
        <v>129</v>
      </c>
      <c r="C58" s="67" t="s">
        <v>218</v>
      </c>
      <c r="D58" s="67" t="s">
        <v>326</v>
      </c>
      <c r="E58" s="68" t="s">
        <v>327</v>
      </c>
    </row>
  </sheetData>
  <mergeCells count="6">
    <mergeCell ref="A27:A28"/>
    <mergeCell ref="A21:A26"/>
    <mergeCell ref="A8:A12"/>
    <mergeCell ref="A2:A7"/>
    <mergeCell ref="A13:A17"/>
    <mergeCell ref="A18:A20"/>
  </mergeCells>
  <phoneticPr fontId="2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workbookViewId="0"/>
  </sheetViews>
  <sheetFormatPr defaultColWidth="8.5" defaultRowHeight="13.5"/>
  <cols>
    <col min="1" max="2" width="12" customWidth="1"/>
    <col min="3" max="3" width="26" customWidth="1"/>
    <col min="4" max="4" width="70" customWidth="1"/>
  </cols>
  <sheetData>
    <row r="1" spans="1:4" ht="19.5" customHeight="1">
      <c r="A1" s="69" t="s">
        <v>328</v>
      </c>
      <c r="B1" s="17" t="s">
        <v>329</v>
      </c>
      <c r="C1" s="17" t="s">
        <v>330</v>
      </c>
      <c r="D1" s="17" t="s">
        <v>331</v>
      </c>
    </row>
    <row r="2" spans="1:4" ht="165" customHeight="1">
      <c r="A2" s="70" t="s">
        <v>332</v>
      </c>
      <c r="B2" s="71" t="s">
        <v>333</v>
      </c>
      <c r="C2" s="48" t="s">
        <v>97</v>
      </c>
      <c r="D2" s="49" t="s">
        <v>334</v>
      </c>
    </row>
    <row r="3" spans="1:4" ht="214.5" customHeight="1">
      <c r="A3" s="70" t="s">
        <v>41</v>
      </c>
      <c r="B3" s="71" t="s">
        <v>333</v>
      </c>
      <c r="C3" s="48" t="s">
        <v>335</v>
      </c>
      <c r="D3" s="49" t="s">
        <v>336</v>
      </c>
    </row>
    <row r="4" spans="1:4" ht="33.75" customHeight="1">
      <c r="A4" s="72" t="s">
        <v>41</v>
      </c>
      <c r="B4" s="71" t="s">
        <v>337</v>
      </c>
      <c r="C4" s="49" t="s">
        <v>338</v>
      </c>
      <c r="D4" s="49" t="s">
        <v>339</v>
      </c>
    </row>
    <row r="5" spans="1:4" ht="115.5" customHeight="1">
      <c r="A5" s="70" t="s">
        <v>340</v>
      </c>
      <c r="B5" s="71" t="s">
        <v>341</v>
      </c>
      <c r="C5" s="49" t="s">
        <v>342</v>
      </c>
      <c r="D5" s="49" t="s">
        <v>343</v>
      </c>
    </row>
    <row r="6" spans="1:4" ht="66" customHeight="1">
      <c r="A6" s="72" t="s">
        <v>41</v>
      </c>
      <c r="B6" s="71" t="s">
        <v>341</v>
      </c>
      <c r="C6" s="49" t="s">
        <v>344</v>
      </c>
      <c r="D6" s="49" t="s">
        <v>345</v>
      </c>
    </row>
    <row r="7" spans="1:4" ht="49.5" customHeight="1">
      <c r="A7" s="70" t="s">
        <v>39</v>
      </c>
      <c r="B7" s="73" t="s">
        <v>20</v>
      </c>
      <c r="C7" s="73" t="s">
        <v>346</v>
      </c>
      <c r="D7" s="74" t="s">
        <v>347</v>
      </c>
    </row>
    <row r="8" spans="1:4" ht="66" customHeight="1">
      <c r="A8" s="72" t="s">
        <v>41</v>
      </c>
      <c r="B8" s="73" t="s">
        <v>20</v>
      </c>
      <c r="C8" s="73" t="s">
        <v>99</v>
      </c>
      <c r="D8" s="74" t="s">
        <v>348</v>
      </c>
    </row>
    <row r="9" spans="1:4" ht="165" customHeight="1">
      <c r="A9" s="70" t="s">
        <v>41</v>
      </c>
      <c r="B9" s="73" t="s">
        <v>20</v>
      </c>
      <c r="C9" s="75" t="s">
        <v>100</v>
      </c>
      <c r="D9" s="74" t="s">
        <v>349</v>
      </c>
    </row>
    <row r="10" spans="1:4" ht="66" customHeight="1">
      <c r="A10" s="70" t="s">
        <v>350</v>
      </c>
      <c r="B10" s="73" t="s">
        <v>20</v>
      </c>
      <c r="C10" s="75" t="s">
        <v>351</v>
      </c>
      <c r="D10" s="76" t="s">
        <v>352</v>
      </c>
    </row>
    <row r="11" spans="1:4" ht="33" customHeight="1">
      <c r="A11" s="70" t="s">
        <v>39</v>
      </c>
      <c r="B11" s="73" t="s">
        <v>20</v>
      </c>
      <c r="C11" s="73" t="s">
        <v>353</v>
      </c>
      <c r="D11" s="74" t="s">
        <v>354</v>
      </c>
    </row>
    <row r="12" spans="1:4" ht="39" customHeight="1">
      <c r="A12" s="70" t="s">
        <v>39</v>
      </c>
      <c r="B12" s="73" t="s">
        <v>20</v>
      </c>
      <c r="C12" s="73" t="s">
        <v>355</v>
      </c>
      <c r="D12" s="76" t="s">
        <v>356</v>
      </c>
    </row>
    <row r="13" spans="1:4" ht="48" customHeight="1">
      <c r="A13" s="72" t="s">
        <v>41</v>
      </c>
      <c r="B13" s="77" t="s">
        <v>357</v>
      </c>
      <c r="C13" s="30" t="s">
        <v>358</v>
      </c>
      <c r="D13" s="30" t="s">
        <v>359</v>
      </c>
    </row>
    <row r="14" spans="1:4" ht="48" customHeight="1">
      <c r="A14" s="70" t="s">
        <v>39</v>
      </c>
      <c r="B14" s="77" t="s">
        <v>357</v>
      </c>
      <c r="C14" s="30" t="s">
        <v>360</v>
      </c>
      <c r="D14" s="30" t="s">
        <v>361</v>
      </c>
    </row>
    <row r="15" spans="1:4" ht="48" customHeight="1">
      <c r="A15" s="70" t="s">
        <v>39</v>
      </c>
      <c r="B15" s="77" t="s">
        <v>357</v>
      </c>
      <c r="C15" s="78" t="s">
        <v>362</v>
      </c>
      <c r="D15" s="30" t="s">
        <v>363</v>
      </c>
    </row>
    <row r="16" spans="1:4" ht="48" customHeight="1">
      <c r="A16" s="70" t="s">
        <v>364</v>
      </c>
      <c r="B16" s="77" t="s">
        <v>357</v>
      </c>
      <c r="C16" s="30" t="s">
        <v>365</v>
      </c>
      <c r="D16" s="78" t="s">
        <v>366</v>
      </c>
    </row>
    <row r="17" spans="1:4" ht="48" customHeight="1">
      <c r="A17" s="79" t="s">
        <v>367</v>
      </c>
      <c r="B17" s="77" t="s">
        <v>341</v>
      </c>
      <c r="C17" s="30" t="s">
        <v>368</v>
      </c>
      <c r="D17" s="30" t="s">
        <v>369</v>
      </c>
    </row>
    <row r="18" spans="1:4" ht="48" customHeight="1">
      <c r="A18" s="80" t="s">
        <v>39</v>
      </c>
      <c r="B18" s="77" t="s">
        <v>341</v>
      </c>
      <c r="C18" s="78" t="s">
        <v>370</v>
      </c>
      <c r="D18" s="30" t="s">
        <v>371</v>
      </c>
    </row>
    <row r="19" spans="1:4" ht="48" customHeight="1">
      <c r="A19" s="80" t="s">
        <v>41</v>
      </c>
      <c r="B19" s="77" t="s">
        <v>20</v>
      </c>
      <c r="C19" s="30" t="s">
        <v>372</v>
      </c>
      <c r="D19" s="30" t="s">
        <v>373</v>
      </c>
    </row>
    <row r="20" spans="1:4" ht="48" customHeight="1">
      <c r="A20" s="80" t="s">
        <v>39</v>
      </c>
      <c r="B20" s="77" t="s">
        <v>374</v>
      </c>
      <c r="C20" s="30" t="s">
        <v>375</v>
      </c>
      <c r="D20" s="30" t="s">
        <v>376</v>
      </c>
    </row>
    <row r="21" spans="1:4" ht="48" customHeight="1">
      <c r="A21" s="80" t="s">
        <v>39</v>
      </c>
      <c r="B21" s="77" t="s">
        <v>20</v>
      </c>
      <c r="C21" s="30" t="s">
        <v>377</v>
      </c>
      <c r="D21" s="30" t="s">
        <v>378</v>
      </c>
    </row>
    <row r="22" spans="1:4" ht="48" customHeight="1">
      <c r="A22" s="80" t="s">
        <v>39</v>
      </c>
      <c r="B22" s="77" t="s">
        <v>20</v>
      </c>
      <c r="C22" s="30" t="s">
        <v>379</v>
      </c>
      <c r="D22" s="78" t="s">
        <v>380</v>
      </c>
    </row>
    <row r="23" spans="1:4" ht="48" customHeight="1">
      <c r="A23" s="80" t="s">
        <v>39</v>
      </c>
      <c r="B23" s="77" t="s">
        <v>381</v>
      </c>
      <c r="C23" s="30" t="s">
        <v>382</v>
      </c>
      <c r="D23" s="30" t="s">
        <v>383</v>
      </c>
    </row>
    <row r="24" spans="1:4" ht="264" customHeight="1">
      <c r="A24" s="70" t="s">
        <v>41</v>
      </c>
      <c r="B24" s="71" t="s">
        <v>26</v>
      </c>
      <c r="C24" s="49" t="s">
        <v>384</v>
      </c>
      <c r="D24" s="49" t="s">
        <v>385</v>
      </c>
    </row>
    <row r="25" spans="1:4" ht="82.5" customHeight="1">
      <c r="A25" s="70" t="s">
        <v>39</v>
      </c>
      <c r="B25" s="71" t="s">
        <v>26</v>
      </c>
      <c r="C25" s="49" t="s">
        <v>386</v>
      </c>
      <c r="D25" s="49" t="s">
        <v>387</v>
      </c>
    </row>
    <row r="26" spans="1:4" ht="165" customHeight="1">
      <c r="A26" s="70" t="s">
        <v>39</v>
      </c>
      <c r="B26" s="71" t="s">
        <v>26</v>
      </c>
      <c r="C26" s="49" t="s">
        <v>388</v>
      </c>
      <c r="D26" s="48" t="s">
        <v>389</v>
      </c>
    </row>
    <row r="27" spans="1:4" ht="49.5" customHeight="1">
      <c r="A27" s="70" t="s">
        <v>39</v>
      </c>
      <c r="B27" s="71" t="s">
        <v>26</v>
      </c>
      <c r="C27" s="49" t="s">
        <v>390</v>
      </c>
      <c r="D27" s="49" t="s">
        <v>391</v>
      </c>
    </row>
    <row r="28" spans="1:4" ht="82.5" customHeight="1">
      <c r="A28" s="70" t="s">
        <v>392</v>
      </c>
      <c r="B28" s="71" t="s">
        <v>393</v>
      </c>
      <c r="C28" s="48" t="s">
        <v>394</v>
      </c>
      <c r="D28" s="49" t="s">
        <v>395</v>
      </c>
    </row>
    <row r="29" spans="1:4" ht="115.5" customHeight="1">
      <c r="A29" s="70" t="s">
        <v>396</v>
      </c>
      <c r="B29" s="71" t="s">
        <v>32</v>
      </c>
      <c r="C29" s="48" t="s">
        <v>397</v>
      </c>
      <c r="D29" s="49" t="s">
        <v>398</v>
      </c>
    </row>
    <row r="30" spans="1:4" ht="264" customHeight="1">
      <c r="A30" s="70" t="s">
        <v>399</v>
      </c>
      <c r="B30" s="71" t="s">
        <v>32</v>
      </c>
      <c r="C30" s="48" t="s">
        <v>400</v>
      </c>
      <c r="D30" s="49" t="s">
        <v>401</v>
      </c>
    </row>
    <row r="31" spans="1:4" ht="99" customHeight="1">
      <c r="A31" s="70" t="s">
        <v>402</v>
      </c>
      <c r="B31" s="71" t="s">
        <v>32</v>
      </c>
      <c r="C31" s="49" t="s">
        <v>403</v>
      </c>
      <c r="D31" s="49" t="s">
        <v>404</v>
      </c>
    </row>
    <row r="32" spans="1:4" ht="33" customHeight="1">
      <c r="A32" s="70" t="s">
        <v>39</v>
      </c>
      <c r="B32" s="71" t="s">
        <v>29</v>
      </c>
      <c r="C32" s="49" t="s">
        <v>405</v>
      </c>
      <c r="D32" s="49" t="s">
        <v>406</v>
      </c>
    </row>
    <row r="33" spans="1:4" ht="82.5" customHeight="1">
      <c r="A33" s="70" t="s">
        <v>41</v>
      </c>
      <c r="B33" s="71" t="s">
        <v>341</v>
      </c>
      <c r="C33" s="48" t="s">
        <v>407</v>
      </c>
      <c r="D33" s="48" t="s">
        <v>408</v>
      </c>
    </row>
    <row r="34" spans="1:4" ht="148.5" customHeight="1">
      <c r="A34" s="70" t="s">
        <v>409</v>
      </c>
      <c r="B34" s="71" t="s">
        <v>32</v>
      </c>
      <c r="C34" s="49" t="s">
        <v>410</v>
      </c>
      <c r="D34" s="49" t="s">
        <v>411</v>
      </c>
    </row>
    <row r="35" spans="1:4" ht="231" customHeight="1">
      <c r="A35" s="70" t="s">
        <v>412</v>
      </c>
      <c r="B35" s="71" t="s">
        <v>32</v>
      </c>
      <c r="C35" s="49" t="s">
        <v>413</v>
      </c>
      <c r="D35" s="48" t="s">
        <v>414</v>
      </c>
    </row>
    <row r="36" spans="1:4" ht="49.5" customHeight="1">
      <c r="A36" s="70" t="s">
        <v>367</v>
      </c>
      <c r="B36" s="71" t="s">
        <v>32</v>
      </c>
      <c r="C36" s="49" t="s">
        <v>415</v>
      </c>
      <c r="D36" s="49" t="s">
        <v>416</v>
      </c>
    </row>
    <row r="37" spans="1:4" ht="82.5" customHeight="1">
      <c r="A37" s="70" t="s">
        <v>41</v>
      </c>
      <c r="B37" s="71" t="s">
        <v>341</v>
      </c>
      <c r="C37" s="49" t="s">
        <v>417</v>
      </c>
      <c r="D37" s="48" t="s">
        <v>418</v>
      </c>
    </row>
    <row r="38" spans="1:4" ht="409.5" customHeight="1">
      <c r="A38" s="70" t="s">
        <v>419</v>
      </c>
      <c r="B38" s="71" t="s">
        <v>33</v>
      </c>
      <c r="C38" s="49" t="s">
        <v>420</v>
      </c>
      <c r="D38" s="48" t="s">
        <v>421</v>
      </c>
    </row>
    <row r="39" spans="1:4" ht="66" customHeight="1">
      <c r="A39" s="70" t="s">
        <v>41</v>
      </c>
      <c r="B39" s="71" t="s">
        <v>33</v>
      </c>
      <c r="C39" s="49" t="s">
        <v>422</v>
      </c>
      <c r="D39" s="48" t="s">
        <v>423</v>
      </c>
    </row>
    <row r="40" spans="1:4" ht="99" customHeight="1">
      <c r="A40" s="70" t="s">
        <v>41</v>
      </c>
      <c r="B40" s="71" t="s">
        <v>341</v>
      </c>
      <c r="C40" s="49" t="s">
        <v>424</v>
      </c>
      <c r="D40" s="48" t="s">
        <v>425</v>
      </c>
    </row>
    <row r="41" spans="1:4" ht="33" customHeight="1">
      <c r="A41" s="70" t="s">
        <v>41</v>
      </c>
      <c r="B41" s="71" t="s">
        <v>32</v>
      </c>
      <c r="C41" s="49" t="s">
        <v>426</v>
      </c>
      <c r="D41" s="48" t="s">
        <v>427</v>
      </c>
    </row>
    <row r="42" spans="1:4" ht="115.5" customHeight="1">
      <c r="A42" s="70" t="s">
        <v>41</v>
      </c>
      <c r="B42" s="71" t="s">
        <v>341</v>
      </c>
      <c r="C42" s="49" t="s">
        <v>428</v>
      </c>
      <c r="D42" s="48" t="s">
        <v>429</v>
      </c>
    </row>
    <row r="43" spans="1:4" ht="148.5" customHeight="1">
      <c r="A43" s="81" t="s">
        <v>430</v>
      </c>
      <c r="B43" s="71" t="s">
        <v>431</v>
      </c>
      <c r="C43" s="49" t="s">
        <v>432</v>
      </c>
      <c r="D43" s="48" t="s">
        <v>433</v>
      </c>
    </row>
    <row r="44" spans="1:4" ht="148.5" customHeight="1">
      <c r="A44" s="70" t="s">
        <v>41</v>
      </c>
      <c r="B44" s="71" t="s">
        <v>20</v>
      </c>
      <c r="C44" s="49" t="s">
        <v>434</v>
      </c>
      <c r="D44" s="48" t="s">
        <v>435</v>
      </c>
    </row>
    <row r="45" spans="1:4" ht="148.5" customHeight="1">
      <c r="A45" s="70" t="s">
        <v>41</v>
      </c>
      <c r="B45" s="71" t="s">
        <v>341</v>
      </c>
      <c r="C45" s="49" t="s">
        <v>436</v>
      </c>
      <c r="D45" s="48" t="s">
        <v>437</v>
      </c>
    </row>
    <row r="46" spans="1:4" ht="94.5" customHeight="1">
      <c r="A46" s="67" t="s">
        <v>41</v>
      </c>
      <c r="B46" s="67" t="s">
        <v>341</v>
      </c>
      <c r="C46" s="67" t="s">
        <v>438</v>
      </c>
      <c r="D46" s="68" t="s">
        <v>439</v>
      </c>
    </row>
    <row r="47" spans="1:4" ht="113.25" customHeight="1">
      <c r="A47" s="67" t="s">
        <v>41</v>
      </c>
      <c r="B47" s="67" t="s">
        <v>341</v>
      </c>
      <c r="C47" s="67" t="s">
        <v>440</v>
      </c>
      <c r="D47" s="68" t="s">
        <v>441</v>
      </c>
    </row>
    <row r="48" spans="1:4" ht="51.75" customHeight="1">
      <c r="A48" s="67" t="s">
        <v>41</v>
      </c>
      <c r="B48" s="67" t="s">
        <v>341</v>
      </c>
      <c r="C48" s="67" t="s">
        <v>442</v>
      </c>
      <c r="D48" s="68" t="s">
        <v>443</v>
      </c>
    </row>
    <row r="49" spans="1:4" ht="80.25" customHeight="1">
      <c r="A49" s="67" t="s">
        <v>41</v>
      </c>
      <c r="B49" s="67" t="s">
        <v>431</v>
      </c>
      <c r="C49" s="67" t="s">
        <v>444</v>
      </c>
      <c r="D49" s="68" t="s">
        <v>445</v>
      </c>
    </row>
    <row r="50" spans="1:4" ht="80.25" customHeight="1">
      <c r="A50" s="67" t="s">
        <v>367</v>
      </c>
      <c r="B50" s="67" t="s">
        <v>446</v>
      </c>
      <c r="C50" s="67" t="s">
        <v>447</v>
      </c>
      <c r="D50" s="68" t="s">
        <v>448</v>
      </c>
    </row>
    <row r="51" spans="1:4" ht="80.25" customHeight="1">
      <c r="A51" s="67" t="s">
        <v>449</v>
      </c>
      <c r="B51" s="67" t="s">
        <v>431</v>
      </c>
      <c r="C51" s="67" t="s">
        <v>450</v>
      </c>
      <c r="D51" s="68" t="s">
        <v>451</v>
      </c>
    </row>
    <row r="52" spans="1:4" ht="80.25" customHeight="1">
      <c r="A52" s="67" t="s">
        <v>41</v>
      </c>
      <c r="B52" s="67" t="s">
        <v>452</v>
      </c>
      <c r="C52" s="67" t="s">
        <v>453</v>
      </c>
      <c r="D52" s="68" t="s">
        <v>454</v>
      </c>
    </row>
    <row r="53" spans="1:4" ht="99.95" customHeight="1">
      <c r="A53" s="84" t="s">
        <v>455</v>
      </c>
      <c r="B53" s="84" t="s">
        <v>456</v>
      </c>
      <c r="C53" s="84" t="s">
        <v>457</v>
      </c>
      <c r="D53" s="28" t="s">
        <v>458</v>
      </c>
    </row>
    <row r="54" spans="1:4" ht="99.95" customHeight="1">
      <c r="A54" s="84" t="s">
        <v>459</v>
      </c>
      <c r="B54" s="84" t="s">
        <v>460</v>
      </c>
      <c r="C54" s="84" t="s">
        <v>461</v>
      </c>
      <c r="D54" s="28" t="s">
        <v>462</v>
      </c>
    </row>
    <row r="55" spans="1:4" ht="99.95" customHeight="1">
      <c r="A55" s="84" t="s">
        <v>463</v>
      </c>
      <c r="B55" s="84" t="s">
        <v>341</v>
      </c>
      <c r="C55" s="85" t="s">
        <v>464</v>
      </c>
      <c r="D55" s="28" t="s">
        <v>465</v>
      </c>
    </row>
    <row r="56" spans="1:4" ht="99.95" customHeight="1">
      <c r="A56" s="84" t="s">
        <v>463</v>
      </c>
      <c r="B56" s="84" t="s">
        <v>341</v>
      </c>
      <c r="C56" s="84" t="s">
        <v>466</v>
      </c>
      <c r="D56" s="28" t="s">
        <v>467</v>
      </c>
    </row>
    <row r="57" spans="1:4" ht="99.95" customHeight="1">
      <c r="A57" s="84" t="s">
        <v>463</v>
      </c>
      <c r="B57" s="84" t="s">
        <v>341</v>
      </c>
      <c r="C57" s="84" t="s">
        <v>468</v>
      </c>
      <c r="D57" s="28" t="s">
        <v>469</v>
      </c>
    </row>
  </sheetData>
  <phoneticPr fontId="2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showGridLines="0" workbookViewId="0"/>
  </sheetViews>
  <sheetFormatPr defaultColWidth="8.5" defaultRowHeight="13.5"/>
  <cols>
    <col min="1" max="1" width="12" customWidth="1"/>
    <col min="2" max="3" width="16" customWidth="1"/>
    <col min="4" max="4" width="10" customWidth="1"/>
    <col min="5" max="5" width="16" customWidth="1"/>
    <col min="6" max="6" width="12" customWidth="1"/>
    <col min="7" max="7" width="46" customWidth="1"/>
  </cols>
  <sheetData>
    <row r="1" spans="1:7" ht="19.5" customHeight="1">
      <c r="A1" s="17" t="s">
        <v>3</v>
      </c>
      <c r="B1" s="17" t="s">
        <v>4</v>
      </c>
      <c r="C1" s="17" t="s">
        <v>470</v>
      </c>
      <c r="D1" s="17" t="s">
        <v>471</v>
      </c>
      <c r="E1" s="17" t="s">
        <v>472</v>
      </c>
      <c r="F1" s="17" t="s">
        <v>473</v>
      </c>
      <c r="G1" s="17" t="s">
        <v>208</v>
      </c>
    </row>
    <row r="2" spans="1:7" ht="16.5" customHeight="1">
      <c r="A2" s="82" t="s">
        <v>16</v>
      </c>
      <c r="B2" s="60" t="s">
        <v>17</v>
      </c>
      <c r="C2" s="59" t="s">
        <v>474</v>
      </c>
      <c r="D2" s="82">
        <v>90</v>
      </c>
      <c r="E2" s="59" t="s">
        <v>475</v>
      </c>
      <c r="F2" s="83" t="s">
        <v>367</v>
      </c>
      <c r="G2" s="30" t="s">
        <v>476</v>
      </c>
    </row>
    <row r="3" spans="1:7" ht="16.5" customHeight="1">
      <c r="A3" s="82" t="s">
        <v>16</v>
      </c>
      <c r="B3" s="60" t="s">
        <v>17</v>
      </c>
      <c r="C3" s="59" t="s">
        <v>477</v>
      </c>
      <c r="D3" s="82">
        <v>90</v>
      </c>
      <c r="E3" s="59" t="s">
        <v>475</v>
      </c>
      <c r="F3" s="83" t="s">
        <v>367</v>
      </c>
      <c r="G3" s="30" t="s">
        <v>476</v>
      </c>
    </row>
    <row r="4" spans="1:7" ht="16.5" customHeight="1">
      <c r="A4" s="82" t="s">
        <v>16</v>
      </c>
      <c r="B4" s="60" t="s">
        <v>17</v>
      </c>
      <c r="C4" s="59" t="s">
        <v>478</v>
      </c>
      <c r="D4" s="82">
        <v>90</v>
      </c>
      <c r="E4" s="59" t="s">
        <v>475</v>
      </c>
      <c r="F4" s="83" t="s">
        <v>367</v>
      </c>
      <c r="G4" s="30" t="s">
        <v>476</v>
      </c>
    </row>
    <row r="5" spans="1:7" ht="16.5" customHeight="1">
      <c r="A5" s="82" t="s">
        <v>16</v>
      </c>
      <c r="B5" s="60" t="s">
        <v>17</v>
      </c>
      <c r="C5" s="59" t="s">
        <v>479</v>
      </c>
      <c r="D5" s="82">
        <v>90</v>
      </c>
      <c r="E5" s="59" t="s">
        <v>475</v>
      </c>
      <c r="F5" s="83" t="s">
        <v>367</v>
      </c>
      <c r="G5" s="30" t="s">
        <v>476</v>
      </c>
    </row>
    <row r="6" spans="1:7" ht="16.5" customHeight="1">
      <c r="A6" s="82" t="s">
        <v>16</v>
      </c>
      <c r="B6" s="60" t="s">
        <v>17</v>
      </c>
      <c r="C6" s="59" t="s">
        <v>480</v>
      </c>
      <c r="D6" s="82">
        <v>90</v>
      </c>
      <c r="E6" s="59" t="s">
        <v>475</v>
      </c>
      <c r="F6" s="83" t="s">
        <v>367</v>
      </c>
      <c r="G6" s="30" t="s">
        <v>476</v>
      </c>
    </row>
    <row r="7" spans="1:7" ht="16.5" customHeight="1">
      <c r="A7" s="82" t="s">
        <v>16</v>
      </c>
      <c r="B7" s="60" t="s">
        <v>17</v>
      </c>
      <c r="C7" s="59" t="s">
        <v>481</v>
      </c>
      <c r="D7" s="82">
        <v>90</v>
      </c>
      <c r="E7" s="59" t="s">
        <v>475</v>
      </c>
      <c r="F7" s="83" t="s">
        <v>367</v>
      </c>
      <c r="G7" s="30" t="s">
        <v>476</v>
      </c>
    </row>
    <row r="8" spans="1:7" ht="16.5" customHeight="1">
      <c r="A8" s="82" t="s">
        <v>16</v>
      </c>
      <c r="B8" s="60" t="s">
        <v>17</v>
      </c>
      <c r="C8" s="59" t="s">
        <v>482</v>
      </c>
      <c r="D8" s="82">
        <v>90</v>
      </c>
      <c r="E8" s="59" t="s">
        <v>475</v>
      </c>
      <c r="F8" s="83" t="s">
        <v>367</v>
      </c>
      <c r="G8" s="30" t="s">
        <v>476</v>
      </c>
    </row>
    <row r="9" spans="1:7" ht="16.5" customHeight="1">
      <c r="A9" s="82" t="s">
        <v>16</v>
      </c>
      <c r="B9" s="60" t="s">
        <v>17</v>
      </c>
      <c r="C9" s="59" t="s">
        <v>483</v>
      </c>
      <c r="D9" s="82">
        <v>90</v>
      </c>
      <c r="E9" s="59" t="s">
        <v>475</v>
      </c>
      <c r="F9" s="83" t="s">
        <v>367</v>
      </c>
      <c r="G9" s="30" t="s">
        <v>476</v>
      </c>
    </row>
    <row r="10" spans="1:7" ht="16.5" customHeight="1">
      <c r="A10" s="82" t="s">
        <v>16</v>
      </c>
      <c r="B10" s="60" t="s">
        <v>17</v>
      </c>
      <c r="C10" s="59" t="s">
        <v>484</v>
      </c>
      <c r="D10" s="82">
        <v>90</v>
      </c>
      <c r="E10" s="59" t="s">
        <v>475</v>
      </c>
      <c r="F10" s="83" t="s">
        <v>367</v>
      </c>
      <c r="G10" s="30" t="s">
        <v>476</v>
      </c>
    </row>
    <row r="11" spans="1:7" ht="16.5" customHeight="1">
      <c r="A11" s="82" t="s">
        <v>22</v>
      </c>
      <c r="B11" s="60" t="s">
        <v>23</v>
      </c>
      <c r="C11" s="59" t="s">
        <v>474</v>
      </c>
      <c r="D11" s="82">
        <v>365</v>
      </c>
      <c r="E11" s="59" t="s">
        <v>485</v>
      </c>
      <c r="F11" s="83" t="s">
        <v>367</v>
      </c>
      <c r="G11" s="30" t="s">
        <v>476</v>
      </c>
    </row>
    <row r="12" spans="1:7" ht="16.5" customHeight="1">
      <c r="A12" s="82" t="s">
        <v>22</v>
      </c>
      <c r="B12" s="60" t="s">
        <v>23</v>
      </c>
      <c r="C12" s="59" t="s">
        <v>477</v>
      </c>
      <c r="D12" s="82">
        <v>90</v>
      </c>
      <c r="E12" s="59" t="s">
        <v>475</v>
      </c>
      <c r="F12" s="83" t="s">
        <v>367</v>
      </c>
      <c r="G12" s="30" t="s">
        <v>476</v>
      </c>
    </row>
    <row r="13" spans="1:7" ht="16.5" customHeight="1">
      <c r="A13" s="82" t="s">
        <v>22</v>
      </c>
      <c r="B13" s="60" t="s">
        <v>23</v>
      </c>
      <c r="C13" s="59" t="s">
        <v>478</v>
      </c>
      <c r="D13" s="82">
        <v>90</v>
      </c>
      <c r="E13" s="59" t="s">
        <v>475</v>
      </c>
      <c r="F13" s="83" t="s">
        <v>367</v>
      </c>
      <c r="G13" s="30" t="s">
        <v>476</v>
      </c>
    </row>
    <row r="14" spans="1:7" ht="16.5" customHeight="1">
      <c r="A14" s="82" t="s">
        <v>22</v>
      </c>
      <c r="B14" s="60" t="s">
        <v>23</v>
      </c>
      <c r="C14" s="59" t="s">
        <v>479</v>
      </c>
      <c r="D14" s="82">
        <v>90</v>
      </c>
      <c r="E14" s="59" t="s">
        <v>475</v>
      </c>
      <c r="F14" s="83" t="s">
        <v>367</v>
      </c>
      <c r="G14" s="30" t="s">
        <v>476</v>
      </c>
    </row>
    <row r="15" spans="1:7" ht="16.5" customHeight="1">
      <c r="A15" s="82" t="s">
        <v>22</v>
      </c>
      <c r="B15" s="60" t="s">
        <v>23</v>
      </c>
      <c r="C15" s="59" t="s">
        <v>480</v>
      </c>
      <c r="D15" s="82">
        <v>365</v>
      </c>
      <c r="E15" s="59" t="s">
        <v>485</v>
      </c>
      <c r="F15" s="83" t="s">
        <v>367</v>
      </c>
      <c r="G15" s="30" t="s">
        <v>476</v>
      </c>
    </row>
    <row r="16" spans="1:7" ht="16.5" customHeight="1">
      <c r="A16" s="82" t="s">
        <v>22</v>
      </c>
      <c r="B16" s="60" t="s">
        <v>23</v>
      </c>
      <c r="C16" s="59" t="s">
        <v>481</v>
      </c>
      <c r="D16" s="82">
        <v>90</v>
      </c>
      <c r="E16" s="59" t="s">
        <v>475</v>
      </c>
      <c r="F16" s="83" t="s">
        <v>367</v>
      </c>
      <c r="G16" s="30" t="s">
        <v>476</v>
      </c>
    </row>
    <row r="17" spans="1:7" ht="16.5" customHeight="1">
      <c r="A17" s="82" t="s">
        <v>22</v>
      </c>
      <c r="B17" s="60" t="s">
        <v>23</v>
      </c>
      <c r="C17" s="59" t="s">
        <v>482</v>
      </c>
      <c r="D17" s="82">
        <v>90</v>
      </c>
      <c r="E17" s="59" t="s">
        <v>475</v>
      </c>
      <c r="F17" s="83" t="s">
        <v>367</v>
      </c>
      <c r="G17" s="30" t="s">
        <v>476</v>
      </c>
    </row>
    <row r="18" spans="1:7" ht="16.5" customHeight="1">
      <c r="A18" s="82" t="s">
        <v>22</v>
      </c>
      <c r="B18" s="60" t="s">
        <v>23</v>
      </c>
      <c r="C18" s="59" t="s">
        <v>483</v>
      </c>
      <c r="D18" s="82">
        <v>90</v>
      </c>
      <c r="E18" s="59" t="s">
        <v>475</v>
      </c>
      <c r="F18" s="83" t="s">
        <v>367</v>
      </c>
      <c r="G18" s="30" t="s">
        <v>476</v>
      </c>
    </row>
    <row r="19" spans="1:7" ht="16.5" customHeight="1">
      <c r="A19" s="82" t="s">
        <v>22</v>
      </c>
      <c r="B19" s="60" t="s">
        <v>23</v>
      </c>
      <c r="C19" s="59" t="s">
        <v>484</v>
      </c>
      <c r="D19" s="82">
        <v>90</v>
      </c>
      <c r="E19" s="59" t="s">
        <v>475</v>
      </c>
      <c r="F19" s="83" t="s">
        <v>367</v>
      </c>
      <c r="G19" s="30" t="s">
        <v>476</v>
      </c>
    </row>
    <row r="20" spans="1:7" ht="16.5" customHeight="1">
      <c r="A20" s="82" t="s">
        <v>22</v>
      </c>
      <c r="B20" s="60" t="s">
        <v>23</v>
      </c>
      <c r="C20" s="59" t="s">
        <v>486</v>
      </c>
      <c r="D20" s="82">
        <v>90</v>
      </c>
      <c r="E20" s="59" t="s">
        <v>475</v>
      </c>
      <c r="F20" s="83" t="s">
        <v>367</v>
      </c>
      <c r="G20" s="30" t="s">
        <v>476</v>
      </c>
    </row>
    <row r="21" spans="1:7" ht="16.5" customHeight="1">
      <c r="A21" s="82" t="s">
        <v>22</v>
      </c>
      <c r="B21" s="60" t="s">
        <v>23</v>
      </c>
      <c r="C21" s="59" t="s">
        <v>487</v>
      </c>
      <c r="D21" s="82">
        <v>90</v>
      </c>
      <c r="E21" s="59" t="s">
        <v>475</v>
      </c>
      <c r="F21" s="83" t="s">
        <v>367</v>
      </c>
      <c r="G21" s="30" t="s">
        <v>476</v>
      </c>
    </row>
    <row r="22" spans="1:7" ht="16.5" customHeight="1">
      <c r="A22" s="82" t="s">
        <v>22</v>
      </c>
      <c r="B22" s="60" t="s">
        <v>23</v>
      </c>
      <c r="C22" s="59" t="s">
        <v>488</v>
      </c>
      <c r="D22" s="82">
        <v>90</v>
      </c>
      <c r="E22" s="59" t="s">
        <v>475</v>
      </c>
      <c r="F22" s="83" t="s">
        <v>367</v>
      </c>
      <c r="G22" s="30" t="s">
        <v>476</v>
      </c>
    </row>
    <row r="23" spans="1:7" ht="16.5" customHeight="1">
      <c r="A23" s="82" t="s">
        <v>22</v>
      </c>
      <c r="B23" s="60" t="s">
        <v>23</v>
      </c>
      <c r="C23" s="59" t="s">
        <v>489</v>
      </c>
      <c r="D23" s="82">
        <v>90</v>
      </c>
      <c r="E23" s="59" t="s">
        <v>475</v>
      </c>
      <c r="F23" s="83" t="s">
        <v>367</v>
      </c>
      <c r="G23" s="30" t="s">
        <v>476</v>
      </c>
    </row>
    <row r="24" spans="1:7" ht="16.5" customHeight="1">
      <c r="A24" s="82" t="s">
        <v>22</v>
      </c>
      <c r="B24" s="60" t="s">
        <v>23</v>
      </c>
      <c r="C24" s="59" t="s">
        <v>490</v>
      </c>
      <c r="D24" s="82">
        <v>90</v>
      </c>
      <c r="E24" s="59" t="s">
        <v>475</v>
      </c>
      <c r="F24" s="83" t="s">
        <v>367</v>
      </c>
      <c r="G24" s="30" t="s">
        <v>476</v>
      </c>
    </row>
    <row r="25" spans="1:7" ht="16.5" customHeight="1">
      <c r="A25" s="82" t="s">
        <v>22</v>
      </c>
      <c r="B25" s="60" t="s">
        <v>23</v>
      </c>
      <c r="C25" s="59" t="s">
        <v>491</v>
      </c>
      <c r="D25" s="82">
        <v>90</v>
      </c>
      <c r="E25" s="59" t="s">
        <v>475</v>
      </c>
      <c r="F25" s="83" t="s">
        <v>367</v>
      </c>
      <c r="G25" s="30" t="s">
        <v>476</v>
      </c>
    </row>
    <row r="26" spans="1:7" ht="16.5" customHeight="1">
      <c r="A26" s="82" t="s">
        <v>22</v>
      </c>
      <c r="B26" s="60" t="s">
        <v>23</v>
      </c>
      <c r="C26" s="59" t="s">
        <v>492</v>
      </c>
      <c r="D26" s="82">
        <v>365</v>
      </c>
      <c r="E26" s="59" t="s">
        <v>485</v>
      </c>
      <c r="F26" s="83" t="s">
        <v>367</v>
      </c>
      <c r="G26" s="30" t="s">
        <v>476</v>
      </c>
    </row>
    <row r="27" spans="1:7" ht="16.5" customHeight="1">
      <c r="A27" s="82" t="s">
        <v>22</v>
      </c>
      <c r="B27" s="60" t="s">
        <v>23</v>
      </c>
      <c r="C27" s="59" t="s">
        <v>493</v>
      </c>
      <c r="D27" s="82">
        <v>90</v>
      </c>
      <c r="E27" s="59" t="s">
        <v>475</v>
      </c>
      <c r="F27" s="83" t="s">
        <v>367</v>
      </c>
      <c r="G27" s="30" t="s">
        <v>476</v>
      </c>
    </row>
    <row r="28" spans="1:7" ht="16.5" customHeight="1">
      <c r="A28" s="82" t="s">
        <v>22</v>
      </c>
      <c r="B28" s="60" t="s">
        <v>23</v>
      </c>
      <c r="C28" s="59" t="s">
        <v>494</v>
      </c>
      <c r="D28" s="82">
        <v>90</v>
      </c>
      <c r="E28" s="59" t="s">
        <v>475</v>
      </c>
      <c r="F28" s="83" t="s">
        <v>367</v>
      </c>
      <c r="G28" s="30" t="s">
        <v>476</v>
      </c>
    </row>
    <row r="29" spans="1:7" ht="16.5" customHeight="1">
      <c r="A29" s="82" t="s">
        <v>22</v>
      </c>
      <c r="B29" s="60" t="s">
        <v>23</v>
      </c>
      <c r="C29" s="59" t="s">
        <v>495</v>
      </c>
      <c r="D29" s="82">
        <v>90</v>
      </c>
      <c r="E29" s="59" t="s">
        <v>475</v>
      </c>
      <c r="F29" s="83" t="s">
        <v>367</v>
      </c>
      <c r="G29" s="30" t="s">
        <v>476</v>
      </c>
    </row>
    <row r="30" spans="1:7" ht="16.5" customHeight="1">
      <c r="A30" s="82" t="s">
        <v>22</v>
      </c>
      <c r="B30" s="60" t="s">
        <v>23</v>
      </c>
      <c r="C30" s="59" t="s">
        <v>496</v>
      </c>
      <c r="D30" s="82">
        <v>90</v>
      </c>
      <c r="E30" s="59" t="s">
        <v>475</v>
      </c>
      <c r="F30" s="83" t="s">
        <v>367</v>
      </c>
      <c r="G30" s="30" t="s">
        <v>476</v>
      </c>
    </row>
    <row r="31" spans="1:7" ht="16.5" customHeight="1">
      <c r="A31" s="82" t="s">
        <v>22</v>
      </c>
      <c r="B31" s="60" t="s">
        <v>23</v>
      </c>
      <c r="C31" s="59" t="s">
        <v>497</v>
      </c>
      <c r="D31" s="82">
        <v>90</v>
      </c>
      <c r="E31" s="59" t="s">
        <v>475</v>
      </c>
      <c r="F31" s="83" t="s">
        <v>367</v>
      </c>
      <c r="G31" s="30" t="s">
        <v>476</v>
      </c>
    </row>
    <row r="32" spans="1:7" ht="16.5" customHeight="1">
      <c r="A32" s="82" t="s">
        <v>22</v>
      </c>
      <c r="B32" s="60" t="s">
        <v>23</v>
      </c>
      <c r="C32" s="59" t="s">
        <v>498</v>
      </c>
      <c r="D32" s="82">
        <v>90</v>
      </c>
      <c r="E32" s="59" t="s">
        <v>475</v>
      </c>
      <c r="F32" s="83" t="s">
        <v>367</v>
      </c>
      <c r="G32" s="30" t="s">
        <v>476</v>
      </c>
    </row>
    <row r="33" spans="1:7" ht="16.5" customHeight="1">
      <c r="A33" s="82" t="s">
        <v>22</v>
      </c>
      <c r="B33" s="60" t="s">
        <v>23</v>
      </c>
      <c r="C33" s="59" t="s">
        <v>499</v>
      </c>
      <c r="D33" s="82">
        <v>90</v>
      </c>
      <c r="E33" s="59" t="s">
        <v>475</v>
      </c>
      <c r="F33" s="83" t="s">
        <v>367</v>
      </c>
      <c r="G33" s="30" t="s">
        <v>476</v>
      </c>
    </row>
    <row r="34" spans="1:7" ht="16.5" customHeight="1">
      <c r="A34" s="82" t="s">
        <v>22</v>
      </c>
      <c r="B34" s="60" t="s">
        <v>23</v>
      </c>
      <c r="C34" s="59" t="s">
        <v>500</v>
      </c>
      <c r="D34" s="82">
        <v>90</v>
      </c>
      <c r="E34" s="59" t="s">
        <v>475</v>
      </c>
      <c r="F34" s="83" t="s">
        <v>367</v>
      </c>
      <c r="G34" s="30" t="s">
        <v>476</v>
      </c>
    </row>
    <row r="35" spans="1:7" ht="16.5" customHeight="1">
      <c r="A35" s="82" t="s">
        <v>22</v>
      </c>
      <c r="B35" s="60" t="s">
        <v>23</v>
      </c>
      <c r="C35" s="59" t="s">
        <v>501</v>
      </c>
      <c r="D35" s="82">
        <v>90</v>
      </c>
      <c r="E35" s="59" t="s">
        <v>475</v>
      </c>
      <c r="F35" s="83" t="s">
        <v>367</v>
      </c>
      <c r="G35" s="30" t="s">
        <v>476</v>
      </c>
    </row>
    <row r="36" spans="1:7" ht="16.5" customHeight="1">
      <c r="A36" s="82" t="s">
        <v>8</v>
      </c>
      <c r="B36" s="60" t="s">
        <v>9</v>
      </c>
      <c r="C36" s="59" t="s">
        <v>474</v>
      </c>
      <c r="D36" s="82">
        <v>90</v>
      </c>
      <c r="E36" s="59" t="s">
        <v>475</v>
      </c>
      <c r="F36" s="83" t="s">
        <v>367</v>
      </c>
      <c r="G36" s="30" t="s">
        <v>476</v>
      </c>
    </row>
    <row r="37" spans="1:7" ht="16.5" customHeight="1">
      <c r="A37" s="82" t="s">
        <v>8</v>
      </c>
      <c r="B37" s="60" t="s">
        <v>9</v>
      </c>
      <c r="C37" s="59" t="s">
        <v>477</v>
      </c>
      <c r="D37" s="82">
        <v>90</v>
      </c>
      <c r="E37" s="59" t="s">
        <v>475</v>
      </c>
      <c r="F37" s="83" t="s">
        <v>367</v>
      </c>
      <c r="G37" s="30" t="s">
        <v>476</v>
      </c>
    </row>
    <row r="38" spans="1:7" ht="16.5" customHeight="1">
      <c r="A38" s="82" t="s">
        <v>8</v>
      </c>
      <c r="B38" s="60" t="s">
        <v>9</v>
      </c>
      <c r="C38" s="59" t="s">
        <v>478</v>
      </c>
      <c r="D38" s="82">
        <v>90</v>
      </c>
      <c r="E38" s="59" t="s">
        <v>475</v>
      </c>
      <c r="F38" s="83" t="s">
        <v>367</v>
      </c>
      <c r="G38" s="30" t="s">
        <v>476</v>
      </c>
    </row>
    <row r="39" spans="1:7" ht="16.5" customHeight="1">
      <c r="A39" s="82" t="s">
        <v>8</v>
      </c>
      <c r="B39" s="60" t="s">
        <v>9</v>
      </c>
      <c r="C39" s="59" t="s">
        <v>479</v>
      </c>
      <c r="D39" s="82">
        <v>90</v>
      </c>
      <c r="E39" s="59" t="s">
        <v>475</v>
      </c>
      <c r="F39" s="83" t="s">
        <v>367</v>
      </c>
      <c r="G39" s="30" t="s">
        <v>476</v>
      </c>
    </row>
    <row r="40" spans="1:7" ht="16.5" customHeight="1">
      <c r="A40" s="82" t="s">
        <v>8</v>
      </c>
      <c r="B40" s="60" t="s">
        <v>9</v>
      </c>
      <c r="C40" s="59" t="s">
        <v>480</v>
      </c>
      <c r="D40" s="82">
        <v>90</v>
      </c>
      <c r="E40" s="59" t="s">
        <v>475</v>
      </c>
      <c r="F40" s="83" t="s">
        <v>367</v>
      </c>
      <c r="G40" s="30" t="s">
        <v>476</v>
      </c>
    </row>
    <row r="41" spans="1:7" ht="16.5" customHeight="1">
      <c r="A41" s="82" t="s">
        <v>8</v>
      </c>
      <c r="B41" s="60" t="s">
        <v>9</v>
      </c>
      <c r="C41" s="59" t="s">
        <v>481</v>
      </c>
      <c r="D41" s="82">
        <v>90</v>
      </c>
      <c r="E41" s="59" t="s">
        <v>475</v>
      </c>
      <c r="F41" s="83" t="s">
        <v>367</v>
      </c>
      <c r="G41" s="30" t="s">
        <v>476</v>
      </c>
    </row>
    <row r="42" spans="1:7" ht="16.5" customHeight="1">
      <c r="A42" s="82" t="s">
        <v>8</v>
      </c>
      <c r="B42" s="60" t="s">
        <v>9</v>
      </c>
      <c r="C42" s="59" t="s">
        <v>482</v>
      </c>
      <c r="D42" s="82">
        <v>90</v>
      </c>
      <c r="E42" s="59" t="s">
        <v>475</v>
      </c>
      <c r="F42" s="83" t="s">
        <v>367</v>
      </c>
      <c r="G42" s="30" t="s">
        <v>476</v>
      </c>
    </row>
    <row r="43" spans="1:7" ht="16.5" customHeight="1">
      <c r="A43" s="82" t="s">
        <v>8</v>
      </c>
      <c r="B43" s="60" t="s">
        <v>9</v>
      </c>
      <c r="C43" s="59" t="s">
        <v>483</v>
      </c>
      <c r="D43" s="82">
        <v>90</v>
      </c>
      <c r="E43" s="59" t="s">
        <v>475</v>
      </c>
      <c r="F43" s="83" t="s">
        <v>367</v>
      </c>
      <c r="G43" s="30" t="s">
        <v>476</v>
      </c>
    </row>
    <row r="44" spans="1:7" ht="16.5" customHeight="1">
      <c r="A44" s="82" t="s">
        <v>8</v>
      </c>
      <c r="B44" s="60" t="s">
        <v>9</v>
      </c>
      <c r="C44" s="59" t="s">
        <v>484</v>
      </c>
      <c r="D44" s="82">
        <v>90</v>
      </c>
      <c r="E44" s="59" t="s">
        <v>475</v>
      </c>
      <c r="F44" s="83" t="s">
        <v>367</v>
      </c>
      <c r="G44" s="30" t="s">
        <v>476</v>
      </c>
    </row>
    <row r="45" spans="1:7" ht="16.5" customHeight="1">
      <c r="A45" s="82" t="s">
        <v>8</v>
      </c>
      <c r="B45" s="60" t="s">
        <v>9</v>
      </c>
      <c r="C45" s="59" t="s">
        <v>486</v>
      </c>
      <c r="D45" s="82">
        <v>90</v>
      </c>
      <c r="E45" s="59" t="s">
        <v>475</v>
      </c>
      <c r="F45" s="83" t="s">
        <v>367</v>
      </c>
      <c r="G45" s="30" t="s">
        <v>476</v>
      </c>
    </row>
    <row r="46" spans="1:7" ht="16.5" customHeight="1">
      <c r="A46" s="82" t="s">
        <v>8</v>
      </c>
      <c r="B46" s="60" t="s">
        <v>9</v>
      </c>
      <c r="C46" s="59" t="s">
        <v>487</v>
      </c>
      <c r="D46" s="82">
        <v>90</v>
      </c>
      <c r="E46" s="59" t="s">
        <v>475</v>
      </c>
      <c r="F46" s="83" t="s">
        <v>367</v>
      </c>
      <c r="G46" s="30" t="s">
        <v>476</v>
      </c>
    </row>
    <row r="47" spans="1:7" ht="16.5" customHeight="1">
      <c r="A47" s="82" t="s">
        <v>8</v>
      </c>
      <c r="B47" s="60" t="s">
        <v>9</v>
      </c>
      <c r="C47" s="59" t="s">
        <v>488</v>
      </c>
      <c r="D47" s="82">
        <v>90</v>
      </c>
      <c r="E47" s="59" t="s">
        <v>475</v>
      </c>
      <c r="F47" s="83" t="s">
        <v>367</v>
      </c>
      <c r="G47" s="30" t="s">
        <v>476</v>
      </c>
    </row>
    <row r="48" spans="1:7" ht="16.5" customHeight="1">
      <c r="A48" s="82" t="s">
        <v>8</v>
      </c>
      <c r="B48" s="60" t="s">
        <v>9</v>
      </c>
      <c r="C48" s="59" t="s">
        <v>489</v>
      </c>
      <c r="D48" s="82">
        <v>90</v>
      </c>
      <c r="E48" s="59" t="s">
        <v>475</v>
      </c>
      <c r="F48" s="83" t="s">
        <v>367</v>
      </c>
      <c r="G48" s="30" t="s">
        <v>476</v>
      </c>
    </row>
    <row r="49" spans="1:7" ht="16.5" customHeight="1">
      <c r="A49" s="82" t="s">
        <v>8</v>
      </c>
      <c r="B49" s="60" t="s">
        <v>9</v>
      </c>
      <c r="C49" s="59" t="s">
        <v>490</v>
      </c>
      <c r="D49" s="82">
        <v>90</v>
      </c>
      <c r="E49" s="59" t="s">
        <v>475</v>
      </c>
      <c r="F49" s="83" t="s">
        <v>367</v>
      </c>
      <c r="G49" s="30" t="s">
        <v>476</v>
      </c>
    </row>
    <row r="50" spans="1:7" ht="16.5" customHeight="1">
      <c r="A50" s="82" t="s">
        <v>8</v>
      </c>
      <c r="B50" s="60" t="s">
        <v>9</v>
      </c>
      <c r="C50" s="59" t="s">
        <v>491</v>
      </c>
      <c r="D50" s="82">
        <v>90</v>
      </c>
      <c r="E50" s="59" t="s">
        <v>475</v>
      </c>
      <c r="F50" s="83" t="s">
        <v>367</v>
      </c>
      <c r="G50" s="30" t="s">
        <v>476</v>
      </c>
    </row>
    <row r="51" spans="1:7" ht="16.5" customHeight="1">
      <c r="A51" s="82" t="s">
        <v>8</v>
      </c>
      <c r="B51" s="60" t="s">
        <v>9</v>
      </c>
      <c r="C51" s="59" t="s">
        <v>492</v>
      </c>
      <c r="D51" s="82">
        <v>90</v>
      </c>
      <c r="E51" s="59" t="s">
        <v>475</v>
      </c>
      <c r="F51" s="83" t="s">
        <v>367</v>
      </c>
      <c r="G51" s="30" t="s">
        <v>476</v>
      </c>
    </row>
    <row r="52" spans="1:7" ht="16.5" customHeight="1">
      <c r="A52" s="82" t="s">
        <v>8</v>
      </c>
      <c r="B52" s="60" t="s">
        <v>9</v>
      </c>
      <c r="C52" s="59" t="s">
        <v>493</v>
      </c>
      <c r="D52" s="82">
        <v>90</v>
      </c>
      <c r="E52" s="59" t="s">
        <v>475</v>
      </c>
      <c r="F52" s="83" t="s">
        <v>367</v>
      </c>
      <c r="G52" s="30" t="s">
        <v>476</v>
      </c>
    </row>
    <row r="53" spans="1:7" ht="16.5" customHeight="1">
      <c r="A53" s="82" t="s">
        <v>8</v>
      </c>
      <c r="B53" s="60" t="s">
        <v>9</v>
      </c>
      <c r="C53" s="59" t="s">
        <v>494</v>
      </c>
      <c r="D53" s="82">
        <v>90</v>
      </c>
      <c r="E53" s="59" t="s">
        <v>475</v>
      </c>
      <c r="F53" s="83" t="s">
        <v>367</v>
      </c>
      <c r="G53" s="30" t="s">
        <v>476</v>
      </c>
    </row>
    <row r="54" spans="1:7" ht="16.5" customHeight="1">
      <c r="A54" s="82" t="s">
        <v>8</v>
      </c>
      <c r="B54" s="60" t="s">
        <v>9</v>
      </c>
      <c r="C54" s="59" t="s">
        <v>495</v>
      </c>
      <c r="D54" s="82">
        <v>90</v>
      </c>
      <c r="E54" s="59" t="s">
        <v>475</v>
      </c>
      <c r="F54" s="83" t="s">
        <v>367</v>
      </c>
      <c r="G54" s="30" t="s">
        <v>476</v>
      </c>
    </row>
    <row r="55" spans="1:7" ht="33" customHeight="1">
      <c r="A55" s="82" t="s">
        <v>13</v>
      </c>
      <c r="B55" s="60" t="s">
        <v>14</v>
      </c>
      <c r="C55" s="59" t="s">
        <v>474</v>
      </c>
      <c r="D55" s="82">
        <v>90</v>
      </c>
      <c r="E55" s="59" t="s">
        <v>475</v>
      </c>
      <c r="F55" s="83" t="s">
        <v>367</v>
      </c>
      <c r="G55" s="30" t="s">
        <v>502</v>
      </c>
    </row>
    <row r="56" spans="1:7" ht="33" customHeight="1">
      <c r="A56" s="82" t="s">
        <v>13</v>
      </c>
      <c r="B56" s="60" t="s">
        <v>14</v>
      </c>
      <c r="C56" s="59" t="s">
        <v>477</v>
      </c>
      <c r="D56" s="82">
        <v>90</v>
      </c>
      <c r="E56" s="59" t="s">
        <v>475</v>
      </c>
      <c r="F56" s="83" t="s">
        <v>367</v>
      </c>
      <c r="G56" s="30" t="s">
        <v>502</v>
      </c>
    </row>
    <row r="57" spans="1:7" ht="33" customHeight="1">
      <c r="A57" s="82" t="s">
        <v>13</v>
      </c>
      <c r="B57" s="60" t="s">
        <v>14</v>
      </c>
      <c r="C57" s="59" t="s">
        <v>478</v>
      </c>
      <c r="D57" s="82">
        <v>90</v>
      </c>
      <c r="E57" s="59" t="s">
        <v>475</v>
      </c>
      <c r="F57" s="83" t="s">
        <v>367</v>
      </c>
      <c r="G57" s="30" t="s">
        <v>502</v>
      </c>
    </row>
    <row r="58" spans="1:7" ht="33" customHeight="1">
      <c r="A58" s="82" t="s">
        <v>13</v>
      </c>
      <c r="B58" s="60" t="s">
        <v>14</v>
      </c>
      <c r="C58" s="59" t="s">
        <v>479</v>
      </c>
      <c r="D58" s="82">
        <v>90</v>
      </c>
      <c r="E58" s="59" t="s">
        <v>475</v>
      </c>
      <c r="F58" s="83" t="s">
        <v>367</v>
      </c>
      <c r="G58" s="30" t="s">
        <v>502</v>
      </c>
    </row>
    <row r="59" spans="1:7" ht="33" customHeight="1">
      <c r="A59" s="82" t="s">
        <v>13</v>
      </c>
      <c r="B59" s="60" t="s">
        <v>14</v>
      </c>
      <c r="C59" s="59" t="s">
        <v>480</v>
      </c>
      <c r="D59" s="82">
        <v>90</v>
      </c>
      <c r="E59" s="59" t="s">
        <v>475</v>
      </c>
      <c r="F59" s="83" t="s">
        <v>367</v>
      </c>
      <c r="G59" s="30" t="s">
        <v>502</v>
      </c>
    </row>
    <row r="60" spans="1:7" ht="33" customHeight="1">
      <c r="A60" s="82" t="s">
        <v>13</v>
      </c>
      <c r="B60" s="60" t="s">
        <v>14</v>
      </c>
      <c r="C60" s="59" t="s">
        <v>481</v>
      </c>
      <c r="D60" s="82">
        <v>90</v>
      </c>
      <c r="E60" s="59" t="s">
        <v>475</v>
      </c>
      <c r="F60" s="83" t="s">
        <v>367</v>
      </c>
      <c r="G60" s="30" t="s">
        <v>502</v>
      </c>
    </row>
    <row r="61" spans="1:7" ht="33" customHeight="1">
      <c r="A61" s="82" t="s">
        <v>13</v>
      </c>
      <c r="B61" s="60" t="s">
        <v>14</v>
      </c>
      <c r="C61" s="59" t="s">
        <v>482</v>
      </c>
      <c r="D61" s="82">
        <v>90</v>
      </c>
      <c r="E61" s="59" t="s">
        <v>475</v>
      </c>
      <c r="F61" s="83" t="s">
        <v>367</v>
      </c>
      <c r="G61" s="30" t="s">
        <v>502</v>
      </c>
    </row>
    <row r="62" spans="1:7" ht="33" customHeight="1">
      <c r="A62" s="82" t="s">
        <v>13</v>
      </c>
      <c r="B62" s="60" t="s">
        <v>14</v>
      </c>
      <c r="C62" s="59" t="s">
        <v>483</v>
      </c>
      <c r="D62" s="82">
        <v>90</v>
      </c>
      <c r="E62" s="59" t="s">
        <v>475</v>
      </c>
      <c r="F62" s="83" t="s">
        <v>367</v>
      </c>
      <c r="G62" s="30" t="s">
        <v>502</v>
      </c>
    </row>
    <row r="63" spans="1:7" ht="33" customHeight="1">
      <c r="A63" s="82" t="s">
        <v>13</v>
      </c>
      <c r="B63" s="60" t="s">
        <v>14</v>
      </c>
      <c r="C63" s="59" t="s">
        <v>484</v>
      </c>
      <c r="D63" s="82">
        <v>90</v>
      </c>
      <c r="E63" s="59" t="s">
        <v>475</v>
      </c>
      <c r="F63" s="83" t="s">
        <v>367</v>
      </c>
      <c r="G63" s="30" t="s">
        <v>502</v>
      </c>
    </row>
    <row r="64" spans="1:7" ht="33" customHeight="1">
      <c r="A64" s="82" t="s">
        <v>13</v>
      </c>
      <c r="B64" s="60" t="s">
        <v>14</v>
      </c>
      <c r="C64" s="59" t="s">
        <v>486</v>
      </c>
      <c r="D64" s="82">
        <v>90</v>
      </c>
      <c r="E64" s="59" t="s">
        <v>475</v>
      </c>
      <c r="F64" s="83" t="s">
        <v>367</v>
      </c>
      <c r="G64" s="30" t="s">
        <v>502</v>
      </c>
    </row>
    <row r="65" spans="1:7" ht="33" customHeight="1">
      <c r="A65" s="82" t="s">
        <v>13</v>
      </c>
      <c r="B65" s="60" t="s">
        <v>14</v>
      </c>
      <c r="C65" s="59" t="s">
        <v>487</v>
      </c>
      <c r="D65" s="82">
        <v>90</v>
      </c>
      <c r="E65" s="59" t="s">
        <v>475</v>
      </c>
      <c r="F65" s="83" t="s">
        <v>367</v>
      </c>
      <c r="G65" s="30" t="s">
        <v>502</v>
      </c>
    </row>
    <row r="66" spans="1:7" ht="33" customHeight="1">
      <c r="A66" s="82" t="s">
        <v>13</v>
      </c>
      <c r="B66" s="60" t="s">
        <v>14</v>
      </c>
      <c r="C66" s="59" t="s">
        <v>488</v>
      </c>
      <c r="D66" s="82">
        <v>90</v>
      </c>
      <c r="E66" s="59" t="s">
        <v>475</v>
      </c>
      <c r="F66" s="83" t="s">
        <v>367</v>
      </c>
      <c r="G66" s="30" t="s">
        <v>502</v>
      </c>
    </row>
    <row r="67" spans="1:7" ht="33" customHeight="1">
      <c r="A67" s="82" t="s">
        <v>13</v>
      </c>
      <c r="B67" s="60" t="s">
        <v>14</v>
      </c>
      <c r="C67" s="59" t="s">
        <v>489</v>
      </c>
      <c r="D67" s="82">
        <v>90</v>
      </c>
      <c r="E67" s="59" t="s">
        <v>475</v>
      </c>
      <c r="F67" s="83" t="s">
        <v>367</v>
      </c>
      <c r="G67" s="30" t="s">
        <v>502</v>
      </c>
    </row>
    <row r="68" spans="1:7" ht="33" customHeight="1">
      <c r="A68" s="82" t="s">
        <v>13</v>
      </c>
      <c r="B68" s="60" t="s">
        <v>14</v>
      </c>
      <c r="C68" s="59" t="s">
        <v>490</v>
      </c>
      <c r="D68" s="82">
        <v>90</v>
      </c>
      <c r="E68" s="59" t="s">
        <v>475</v>
      </c>
      <c r="F68" s="83" t="s">
        <v>367</v>
      </c>
      <c r="G68" s="30" t="s">
        <v>502</v>
      </c>
    </row>
    <row r="69" spans="1:7" ht="33" customHeight="1">
      <c r="A69" s="82" t="s">
        <v>13</v>
      </c>
      <c r="B69" s="60" t="s">
        <v>14</v>
      </c>
      <c r="C69" s="59" t="s">
        <v>491</v>
      </c>
      <c r="D69" s="82">
        <v>90</v>
      </c>
      <c r="E69" s="59" t="s">
        <v>475</v>
      </c>
      <c r="F69" s="83" t="s">
        <v>367</v>
      </c>
      <c r="G69" s="30" t="s">
        <v>502</v>
      </c>
    </row>
    <row r="70" spans="1:7" ht="33" customHeight="1">
      <c r="A70" s="82" t="s">
        <v>13</v>
      </c>
      <c r="B70" s="60" t="s">
        <v>14</v>
      </c>
      <c r="C70" s="59" t="s">
        <v>492</v>
      </c>
      <c r="D70" s="82">
        <v>90</v>
      </c>
      <c r="E70" s="59" t="s">
        <v>475</v>
      </c>
      <c r="F70" s="83" t="s">
        <v>367</v>
      </c>
      <c r="G70" s="30" t="s">
        <v>502</v>
      </c>
    </row>
    <row r="71" spans="1:7" ht="33" customHeight="1">
      <c r="A71" s="82" t="s">
        <v>13</v>
      </c>
      <c r="B71" s="60" t="s">
        <v>14</v>
      </c>
      <c r="C71" s="59" t="s">
        <v>493</v>
      </c>
      <c r="D71" s="82">
        <v>90</v>
      </c>
      <c r="E71" s="59" t="s">
        <v>475</v>
      </c>
      <c r="F71" s="83" t="s">
        <v>367</v>
      </c>
      <c r="G71" s="30" t="s">
        <v>502</v>
      </c>
    </row>
    <row r="72" spans="1:7" ht="33" customHeight="1">
      <c r="A72" s="82" t="s">
        <v>13</v>
      </c>
      <c r="B72" s="60" t="s">
        <v>14</v>
      </c>
      <c r="C72" s="59" t="s">
        <v>494</v>
      </c>
      <c r="D72" s="82">
        <v>90</v>
      </c>
      <c r="E72" s="59" t="s">
        <v>475</v>
      </c>
      <c r="F72" s="83" t="s">
        <v>367</v>
      </c>
      <c r="G72" s="30" t="s">
        <v>502</v>
      </c>
    </row>
    <row r="73" spans="1:7" ht="33" customHeight="1">
      <c r="A73" s="82" t="s">
        <v>13</v>
      </c>
      <c r="B73" s="60" t="s">
        <v>14</v>
      </c>
      <c r="C73" s="59" t="s">
        <v>495</v>
      </c>
      <c r="D73" s="82">
        <v>90</v>
      </c>
      <c r="E73" s="59" t="s">
        <v>475</v>
      </c>
      <c r="F73" s="83" t="s">
        <v>367</v>
      </c>
      <c r="G73" s="30" t="s">
        <v>502</v>
      </c>
    </row>
    <row r="74" spans="1:7" ht="33" customHeight="1">
      <c r="A74" s="82" t="s">
        <v>13</v>
      </c>
      <c r="B74" s="60" t="s">
        <v>14</v>
      </c>
      <c r="C74" s="59" t="s">
        <v>496</v>
      </c>
      <c r="D74" s="82">
        <v>90</v>
      </c>
      <c r="E74" s="59" t="s">
        <v>475</v>
      </c>
      <c r="F74" s="83" t="s">
        <v>367</v>
      </c>
      <c r="G74" s="30" t="s">
        <v>502</v>
      </c>
    </row>
    <row r="75" spans="1:7" ht="16.5" customHeight="1">
      <c r="A75" s="82" t="s">
        <v>19</v>
      </c>
      <c r="B75" s="60" t="s">
        <v>20</v>
      </c>
      <c r="C75" s="59" t="s">
        <v>474</v>
      </c>
      <c r="D75" s="82">
        <v>90</v>
      </c>
      <c r="E75" s="59" t="s">
        <v>475</v>
      </c>
      <c r="F75" s="83" t="s">
        <v>367</v>
      </c>
      <c r="G75" s="30" t="s">
        <v>476</v>
      </c>
    </row>
    <row r="76" spans="1:7" ht="16.5" customHeight="1">
      <c r="A76" s="82" t="s">
        <v>19</v>
      </c>
      <c r="B76" s="60" t="s">
        <v>20</v>
      </c>
      <c r="C76" s="59" t="s">
        <v>477</v>
      </c>
      <c r="D76" s="82">
        <v>90</v>
      </c>
      <c r="E76" s="59" t="s">
        <v>475</v>
      </c>
      <c r="F76" s="83" t="s">
        <v>367</v>
      </c>
      <c r="G76" s="30" t="s">
        <v>476</v>
      </c>
    </row>
    <row r="77" spans="1:7" ht="16.5" customHeight="1">
      <c r="A77" s="82" t="s">
        <v>19</v>
      </c>
      <c r="B77" s="60" t="s">
        <v>20</v>
      </c>
      <c r="C77" s="59" t="s">
        <v>478</v>
      </c>
      <c r="D77" s="82">
        <v>90</v>
      </c>
      <c r="E77" s="59" t="s">
        <v>475</v>
      </c>
      <c r="F77" s="83" t="s">
        <v>367</v>
      </c>
      <c r="G77" s="30" t="s">
        <v>476</v>
      </c>
    </row>
    <row r="78" spans="1:7" ht="16.5" customHeight="1">
      <c r="A78" s="82" t="s">
        <v>19</v>
      </c>
      <c r="B78" s="60" t="s">
        <v>20</v>
      </c>
      <c r="C78" s="59" t="s">
        <v>479</v>
      </c>
      <c r="D78" s="82">
        <v>90</v>
      </c>
      <c r="E78" s="59" t="s">
        <v>475</v>
      </c>
      <c r="F78" s="83" t="s">
        <v>367</v>
      </c>
      <c r="G78" s="30" t="s">
        <v>476</v>
      </c>
    </row>
    <row r="79" spans="1:7" ht="33" customHeight="1">
      <c r="A79" s="82" t="s">
        <v>19</v>
      </c>
      <c r="B79" s="60" t="s">
        <v>20</v>
      </c>
      <c r="C79" s="59" t="s">
        <v>480</v>
      </c>
      <c r="D79" s="82">
        <v>90</v>
      </c>
      <c r="E79" s="59" t="s">
        <v>503</v>
      </c>
      <c r="F79" s="83" t="s">
        <v>367</v>
      </c>
      <c r="G79" s="86" t="s">
        <v>504</v>
      </c>
    </row>
    <row r="80" spans="1:7" ht="16.5" customHeight="1">
      <c r="A80" s="82" t="s">
        <v>19</v>
      </c>
      <c r="B80" s="60" t="s">
        <v>20</v>
      </c>
      <c r="C80" s="59" t="s">
        <v>481</v>
      </c>
      <c r="D80" s="82">
        <v>90</v>
      </c>
      <c r="E80" s="59" t="s">
        <v>475</v>
      </c>
      <c r="F80" s="83" t="s">
        <v>367</v>
      </c>
      <c r="G80" s="30" t="s">
        <v>476</v>
      </c>
    </row>
    <row r="81" spans="1:7" ht="16.5" customHeight="1">
      <c r="A81" s="82" t="s">
        <v>19</v>
      </c>
      <c r="B81" s="60" t="s">
        <v>20</v>
      </c>
      <c r="C81" s="59" t="s">
        <v>482</v>
      </c>
      <c r="D81" s="82">
        <v>90</v>
      </c>
      <c r="E81" s="59" t="s">
        <v>475</v>
      </c>
      <c r="F81" s="83" t="s">
        <v>367</v>
      </c>
      <c r="G81" s="30" t="s">
        <v>476</v>
      </c>
    </row>
    <row r="82" spans="1:7" ht="16.5" customHeight="1">
      <c r="A82" s="82" t="s">
        <v>19</v>
      </c>
      <c r="B82" s="60" t="s">
        <v>20</v>
      </c>
      <c r="C82" s="59" t="s">
        <v>483</v>
      </c>
      <c r="D82" s="82">
        <v>90</v>
      </c>
      <c r="E82" s="59" t="s">
        <v>475</v>
      </c>
      <c r="F82" s="83" t="s">
        <v>367</v>
      </c>
      <c r="G82" s="30" t="s">
        <v>476</v>
      </c>
    </row>
    <row r="83" spans="1:7" ht="16.5" customHeight="1">
      <c r="A83" s="82" t="s">
        <v>19</v>
      </c>
      <c r="B83" s="60" t="s">
        <v>20</v>
      </c>
      <c r="C83" s="59" t="s">
        <v>484</v>
      </c>
      <c r="D83" s="82">
        <v>90</v>
      </c>
      <c r="E83" s="59" t="s">
        <v>475</v>
      </c>
      <c r="F83" s="83" t="s">
        <v>367</v>
      </c>
      <c r="G83" s="30" t="s">
        <v>476</v>
      </c>
    </row>
    <row r="84" spans="1:7" ht="16.5" customHeight="1">
      <c r="A84" s="82" t="s">
        <v>19</v>
      </c>
      <c r="B84" s="60" t="s">
        <v>20</v>
      </c>
      <c r="C84" s="59" t="s">
        <v>486</v>
      </c>
      <c r="D84" s="82">
        <v>90</v>
      </c>
      <c r="E84" s="59" t="s">
        <v>475</v>
      </c>
      <c r="F84" s="83" t="s">
        <v>367</v>
      </c>
      <c r="G84" s="30" t="s">
        <v>476</v>
      </c>
    </row>
    <row r="85" spans="1:7" ht="16.5" customHeight="1">
      <c r="A85" s="82" t="s">
        <v>19</v>
      </c>
      <c r="B85" s="60" t="s">
        <v>20</v>
      </c>
      <c r="C85" s="59" t="s">
        <v>487</v>
      </c>
      <c r="D85" s="82">
        <v>90</v>
      </c>
      <c r="E85" s="59" t="s">
        <v>475</v>
      </c>
      <c r="F85" s="83" t="s">
        <v>367</v>
      </c>
      <c r="G85" s="30" t="s">
        <v>476</v>
      </c>
    </row>
    <row r="86" spans="1:7" ht="16.5" customHeight="1">
      <c r="A86" s="82" t="s">
        <v>19</v>
      </c>
      <c r="B86" s="60" t="s">
        <v>20</v>
      </c>
      <c r="C86" s="59" t="s">
        <v>488</v>
      </c>
      <c r="D86" s="82">
        <v>90</v>
      </c>
      <c r="E86" s="59" t="s">
        <v>475</v>
      </c>
      <c r="F86" s="83" t="s">
        <v>367</v>
      </c>
      <c r="G86" s="30" t="s">
        <v>476</v>
      </c>
    </row>
    <row r="87" spans="1:7" ht="16.5" customHeight="1">
      <c r="A87" s="82" t="s">
        <v>19</v>
      </c>
      <c r="B87" s="60" t="s">
        <v>20</v>
      </c>
      <c r="C87" s="59" t="s">
        <v>489</v>
      </c>
      <c r="D87" s="82">
        <v>90</v>
      </c>
      <c r="E87" s="59" t="s">
        <v>475</v>
      </c>
      <c r="F87" s="83" t="s">
        <v>367</v>
      </c>
      <c r="G87" s="30" t="s">
        <v>476</v>
      </c>
    </row>
    <row r="88" spans="1:7" ht="16.5" customHeight="1">
      <c r="A88" s="82" t="s">
        <v>19</v>
      </c>
      <c r="B88" s="60" t="s">
        <v>20</v>
      </c>
      <c r="C88" s="59" t="s">
        <v>490</v>
      </c>
      <c r="D88" s="82">
        <v>90</v>
      </c>
      <c r="E88" s="59" t="s">
        <v>475</v>
      </c>
      <c r="F88" s="83" t="s">
        <v>367</v>
      </c>
      <c r="G88" s="30" t="s">
        <v>476</v>
      </c>
    </row>
    <row r="89" spans="1:7" ht="16.5" customHeight="1">
      <c r="A89" s="82" t="s">
        <v>19</v>
      </c>
      <c r="B89" s="60" t="s">
        <v>20</v>
      </c>
      <c r="C89" s="59" t="s">
        <v>491</v>
      </c>
      <c r="D89" s="82">
        <v>90</v>
      </c>
      <c r="E89" s="59" t="s">
        <v>475</v>
      </c>
      <c r="F89" s="83" t="s">
        <v>367</v>
      </c>
      <c r="G89" s="30" t="s">
        <v>476</v>
      </c>
    </row>
    <row r="90" spans="1:7" ht="16.5" customHeight="1">
      <c r="A90" s="82" t="s">
        <v>19</v>
      </c>
      <c r="B90" s="60" t="s">
        <v>20</v>
      </c>
      <c r="C90" s="59" t="s">
        <v>492</v>
      </c>
      <c r="D90" s="82">
        <v>90</v>
      </c>
      <c r="E90" s="59" t="s">
        <v>475</v>
      </c>
      <c r="F90" s="83" t="s">
        <v>367</v>
      </c>
      <c r="G90" s="30" t="s">
        <v>476</v>
      </c>
    </row>
    <row r="91" spans="1:7" ht="16.5" customHeight="1">
      <c r="A91" s="82" t="s">
        <v>19</v>
      </c>
      <c r="B91" s="60" t="s">
        <v>20</v>
      </c>
      <c r="C91" s="59" t="s">
        <v>493</v>
      </c>
      <c r="D91" s="82">
        <v>90</v>
      </c>
      <c r="E91" s="59" t="s">
        <v>475</v>
      </c>
      <c r="F91" s="83" t="s">
        <v>367</v>
      </c>
      <c r="G91" s="30" t="s">
        <v>476</v>
      </c>
    </row>
    <row r="92" spans="1:7" ht="16.5" customHeight="1">
      <c r="A92" s="82" t="s">
        <v>19</v>
      </c>
      <c r="B92" s="60" t="s">
        <v>20</v>
      </c>
      <c r="C92" s="59" t="s">
        <v>494</v>
      </c>
      <c r="D92" s="82">
        <v>90</v>
      </c>
      <c r="E92" s="59" t="s">
        <v>475</v>
      </c>
      <c r="F92" s="83" t="s">
        <v>367</v>
      </c>
      <c r="G92" s="30" t="s">
        <v>476</v>
      </c>
    </row>
    <row r="93" spans="1:7" ht="16.5" customHeight="1">
      <c r="A93" s="82" t="s">
        <v>19</v>
      </c>
      <c r="B93" s="60" t="s">
        <v>20</v>
      </c>
      <c r="C93" s="59" t="s">
        <v>495</v>
      </c>
      <c r="D93" s="82">
        <v>90</v>
      </c>
      <c r="E93" s="59" t="s">
        <v>475</v>
      </c>
      <c r="F93" s="83" t="s">
        <v>367</v>
      </c>
      <c r="G93" s="30" t="s">
        <v>476</v>
      </c>
    </row>
    <row r="94" spans="1:7" ht="16.5" customHeight="1">
      <c r="A94" s="82" t="s">
        <v>19</v>
      </c>
      <c r="B94" s="60" t="s">
        <v>20</v>
      </c>
      <c r="C94" s="59" t="s">
        <v>496</v>
      </c>
      <c r="D94" s="82">
        <v>90</v>
      </c>
      <c r="E94" s="59" t="s">
        <v>475</v>
      </c>
      <c r="F94" s="83" t="s">
        <v>367</v>
      </c>
      <c r="G94" s="30" t="s">
        <v>476</v>
      </c>
    </row>
    <row r="95" spans="1:7" ht="16.5" customHeight="1">
      <c r="A95" s="82" t="s">
        <v>19</v>
      </c>
      <c r="B95" s="60" t="s">
        <v>20</v>
      </c>
      <c r="C95" s="59" t="s">
        <v>497</v>
      </c>
      <c r="D95" s="82">
        <v>90</v>
      </c>
      <c r="E95" s="59" t="s">
        <v>475</v>
      </c>
      <c r="F95" s="83" t="s">
        <v>367</v>
      </c>
      <c r="G95" s="30" t="s">
        <v>476</v>
      </c>
    </row>
    <row r="96" spans="1:7" ht="16.5" customHeight="1">
      <c r="A96" s="82" t="s">
        <v>19</v>
      </c>
      <c r="B96" s="60" t="s">
        <v>20</v>
      </c>
      <c r="C96" s="59" t="s">
        <v>498</v>
      </c>
      <c r="D96" s="82">
        <v>90</v>
      </c>
      <c r="E96" s="59" t="s">
        <v>475</v>
      </c>
      <c r="F96" s="83" t="s">
        <v>367</v>
      </c>
      <c r="G96" s="30" t="s">
        <v>476</v>
      </c>
    </row>
    <row r="97" spans="1:7" ht="16.5" customHeight="1">
      <c r="A97" s="82" t="s">
        <v>19</v>
      </c>
      <c r="B97" s="60" t="s">
        <v>20</v>
      </c>
      <c r="C97" s="59" t="s">
        <v>499</v>
      </c>
      <c r="D97" s="82">
        <v>90</v>
      </c>
      <c r="E97" s="59" t="s">
        <v>475</v>
      </c>
      <c r="F97" s="83" t="s">
        <v>367</v>
      </c>
      <c r="G97" s="30" t="s">
        <v>476</v>
      </c>
    </row>
    <row r="98" spans="1:7" ht="16.5" customHeight="1">
      <c r="A98" s="82" t="s">
        <v>19</v>
      </c>
      <c r="B98" s="60" t="s">
        <v>20</v>
      </c>
      <c r="C98" s="59" t="s">
        <v>500</v>
      </c>
      <c r="D98" s="82">
        <v>90</v>
      </c>
      <c r="E98" s="59" t="s">
        <v>475</v>
      </c>
      <c r="F98" s="83" t="s">
        <v>367</v>
      </c>
      <c r="G98" s="30" t="s">
        <v>476</v>
      </c>
    </row>
    <row r="99" spans="1:7" ht="16.5" customHeight="1">
      <c r="A99" s="82" t="s">
        <v>19</v>
      </c>
      <c r="B99" s="60" t="s">
        <v>20</v>
      </c>
      <c r="C99" s="59" t="s">
        <v>501</v>
      </c>
      <c r="D99" s="82">
        <v>90</v>
      </c>
      <c r="E99" s="59" t="s">
        <v>475</v>
      </c>
      <c r="F99" s="83" t="s">
        <v>367</v>
      </c>
      <c r="G99" s="30" t="s">
        <v>476</v>
      </c>
    </row>
    <row r="100" spans="1:7" ht="16.5" customHeight="1">
      <c r="A100" s="82" t="s">
        <v>19</v>
      </c>
      <c r="B100" s="60" t="s">
        <v>20</v>
      </c>
      <c r="C100" s="59" t="s">
        <v>505</v>
      </c>
      <c r="D100" s="82">
        <v>90</v>
      </c>
      <c r="E100" s="59" t="s">
        <v>475</v>
      </c>
      <c r="F100" s="83" t="s">
        <v>367</v>
      </c>
      <c r="G100" s="30" t="s">
        <v>476</v>
      </c>
    </row>
    <row r="101" spans="1:7" ht="16.5" customHeight="1">
      <c r="A101" s="82" t="s">
        <v>19</v>
      </c>
      <c r="B101" s="60" t="s">
        <v>20</v>
      </c>
      <c r="C101" s="59" t="s">
        <v>506</v>
      </c>
      <c r="D101" s="82">
        <v>90</v>
      </c>
      <c r="E101" s="59" t="s">
        <v>475</v>
      </c>
      <c r="F101" s="83" t="s">
        <v>367</v>
      </c>
      <c r="G101" s="30" t="s">
        <v>476</v>
      </c>
    </row>
    <row r="102" spans="1:7" ht="49.5" customHeight="1">
      <c r="A102" s="82" t="s">
        <v>25</v>
      </c>
      <c r="B102" s="60" t="s">
        <v>26</v>
      </c>
      <c r="C102" s="59" t="s">
        <v>474</v>
      </c>
      <c r="D102" s="82">
        <v>90</v>
      </c>
      <c r="E102" s="59" t="s">
        <v>475</v>
      </c>
      <c r="F102" s="83" t="s">
        <v>367</v>
      </c>
      <c r="G102" s="30" t="s">
        <v>507</v>
      </c>
    </row>
    <row r="103" spans="1:7" ht="49.5" customHeight="1">
      <c r="A103" s="82" t="s">
        <v>25</v>
      </c>
      <c r="B103" s="60" t="s">
        <v>26</v>
      </c>
      <c r="C103" s="59" t="s">
        <v>477</v>
      </c>
      <c r="D103" s="82">
        <v>90</v>
      </c>
      <c r="E103" s="59" t="s">
        <v>475</v>
      </c>
      <c r="F103" s="83" t="s">
        <v>367</v>
      </c>
      <c r="G103" s="30" t="s">
        <v>507</v>
      </c>
    </row>
    <row r="104" spans="1:7" ht="49.5" customHeight="1">
      <c r="A104" s="82" t="s">
        <v>25</v>
      </c>
      <c r="B104" s="60" t="s">
        <v>26</v>
      </c>
      <c r="C104" s="59" t="s">
        <v>478</v>
      </c>
      <c r="D104" s="82">
        <v>90</v>
      </c>
      <c r="E104" s="59" t="s">
        <v>475</v>
      </c>
      <c r="F104" s="83" t="s">
        <v>367</v>
      </c>
      <c r="G104" s="30" t="s">
        <v>507</v>
      </c>
    </row>
    <row r="105" spans="1:7" ht="49.5" customHeight="1">
      <c r="A105" s="82" t="s">
        <v>25</v>
      </c>
      <c r="B105" s="60" t="s">
        <v>26</v>
      </c>
      <c r="C105" s="59" t="s">
        <v>479</v>
      </c>
      <c r="D105" s="82">
        <v>90</v>
      </c>
      <c r="E105" s="59" t="s">
        <v>475</v>
      </c>
      <c r="F105" s="83" t="s">
        <v>367</v>
      </c>
      <c r="G105" s="30" t="s">
        <v>507</v>
      </c>
    </row>
    <row r="106" spans="1:7" ht="49.5" customHeight="1">
      <c r="A106" s="82" t="s">
        <v>25</v>
      </c>
      <c r="B106" s="60" t="s">
        <v>26</v>
      </c>
      <c r="C106" s="59" t="s">
        <v>480</v>
      </c>
      <c r="D106" s="82">
        <v>90</v>
      </c>
      <c r="E106" s="59" t="s">
        <v>475</v>
      </c>
      <c r="F106" s="83" t="s">
        <v>367</v>
      </c>
      <c r="G106" s="30" t="s">
        <v>507</v>
      </c>
    </row>
    <row r="107" spans="1:7" ht="49.5" customHeight="1">
      <c r="A107" s="82" t="s">
        <v>25</v>
      </c>
      <c r="B107" s="60" t="s">
        <v>26</v>
      </c>
      <c r="C107" s="59" t="s">
        <v>481</v>
      </c>
      <c r="D107" s="82">
        <v>90</v>
      </c>
      <c r="E107" s="59" t="s">
        <v>475</v>
      </c>
      <c r="F107" s="83" t="s">
        <v>367</v>
      </c>
      <c r="G107" s="30" t="s">
        <v>507</v>
      </c>
    </row>
    <row r="108" spans="1:7" ht="49.5" customHeight="1">
      <c r="A108" s="82" t="s">
        <v>25</v>
      </c>
      <c r="B108" s="60" t="s">
        <v>26</v>
      </c>
      <c r="C108" s="59" t="s">
        <v>482</v>
      </c>
      <c r="D108" s="82">
        <v>90</v>
      </c>
      <c r="E108" s="59" t="s">
        <v>475</v>
      </c>
      <c r="F108" s="83" t="s">
        <v>367</v>
      </c>
      <c r="G108" s="30" t="s">
        <v>507</v>
      </c>
    </row>
    <row r="109" spans="1:7" ht="49.5" customHeight="1">
      <c r="A109" s="82" t="s">
        <v>25</v>
      </c>
      <c r="B109" s="60" t="s">
        <v>26</v>
      </c>
      <c r="C109" s="59" t="s">
        <v>483</v>
      </c>
      <c r="D109" s="82">
        <v>90</v>
      </c>
      <c r="E109" s="59" t="s">
        <v>475</v>
      </c>
      <c r="F109" s="83" t="s">
        <v>367</v>
      </c>
      <c r="G109" s="30" t="s">
        <v>507</v>
      </c>
    </row>
    <row r="110" spans="1:7" ht="49.5" customHeight="1">
      <c r="A110" s="82" t="s">
        <v>25</v>
      </c>
      <c r="B110" s="60" t="s">
        <v>26</v>
      </c>
      <c r="C110" s="59" t="s">
        <v>484</v>
      </c>
      <c r="D110" s="82">
        <v>90</v>
      </c>
      <c r="E110" s="59" t="s">
        <v>475</v>
      </c>
      <c r="F110" s="83" t="s">
        <v>367</v>
      </c>
      <c r="G110" s="30" t="s">
        <v>507</v>
      </c>
    </row>
    <row r="111" spans="1:7" ht="49.5" customHeight="1">
      <c r="A111" s="82" t="s">
        <v>25</v>
      </c>
      <c r="B111" s="60" t="s">
        <v>26</v>
      </c>
      <c r="C111" s="59" t="s">
        <v>486</v>
      </c>
      <c r="D111" s="82">
        <v>90</v>
      </c>
      <c r="E111" s="59" t="s">
        <v>475</v>
      </c>
      <c r="F111" s="83" t="s">
        <v>367</v>
      </c>
      <c r="G111" s="30" t="s">
        <v>507</v>
      </c>
    </row>
    <row r="112" spans="1:7" ht="49.5" customHeight="1">
      <c r="A112" s="82" t="s">
        <v>25</v>
      </c>
      <c r="B112" s="60" t="s">
        <v>26</v>
      </c>
      <c r="C112" s="59" t="s">
        <v>487</v>
      </c>
      <c r="D112" s="82">
        <v>90</v>
      </c>
      <c r="E112" s="59" t="s">
        <v>475</v>
      </c>
      <c r="F112" s="83" t="s">
        <v>367</v>
      </c>
      <c r="G112" s="30" t="s">
        <v>507</v>
      </c>
    </row>
    <row r="113" spans="1:7" ht="49.5" customHeight="1">
      <c r="A113" s="82" t="s">
        <v>25</v>
      </c>
      <c r="B113" s="60" t="s">
        <v>26</v>
      </c>
      <c r="C113" s="59" t="s">
        <v>488</v>
      </c>
      <c r="D113" s="82">
        <v>90</v>
      </c>
      <c r="E113" s="59" t="s">
        <v>475</v>
      </c>
      <c r="F113" s="83" t="s">
        <v>367</v>
      </c>
      <c r="G113" s="30" t="s">
        <v>507</v>
      </c>
    </row>
    <row r="114" spans="1:7" ht="49.5" customHeight="1">
      <c r="A114" s="82" t="s">
        <v>25</v>
      </c>
      <c r="B114" s="60" t="s">
        <v>26</v>
      </c>
      <c r="C114" s="59" t="s">
        <v>489</v>
      </c>
      <c r="D114" s="82">
        <v>90</v>
      </c>
      <c r="E114" s="59" t="s">
        <v>475</v>
      </c>
      <c r="F114" s="83" t="s">
        <v>367</v>
      </c>
      <c r="G114" s="30" t="s">
        <v>507</v>
      </c>
    </row>
    <row r="115" spans="1:7" ht="49.5" customHeight="1">
      <c r="A115" s="82" t="s">
        <v>25</v>
      </c>
      <c r="B115" s="60" t="s">
        <v>26</v>
      </c>
      <c r="C115" s="59" t="s">
        <v>490</v>
      </c>
      <c r="D115" s="82">
        <v>90</v>
      </c>
      <c r="E115" s="59" t="s">
        <v>475</v>
      </c>
      <c r="F115" s="83" t="s">
        <v>367</v>
      </c>
      <c r="G115" s="30" t="s">
        <v>507</v>
      </c>
    </row>
    <row r="116" spans="1:7" ht="49.5" customHeight="1">
      <c r="A116" s="82" t="s">
        <v>25</v>
      </c>
      <c r="B116" s="60" t="s">
        <v>26</v>
      </c>
      <c r="C116" s="59" t="s">
        <v>491</v>
      </c>
      <c r="D116" s="82">
        <v>90</v>
      </c>
      <c r="E116" s="59" t="s">
        <v>475</v>
      </c>
      <c r="F116" s="83" t="s">
        <v>367</v>
      </c>
      <c r="G116" s="30" t="s">
        <v>507</v>
      </c>
    </row>
    <row r="117" spans="1:7" ht="49.5" customHeight="1">
      <c r="A117" s="82" t="s">
        <v>25</v>
      </c>
      <c r="B117" s="60" t="s">
        <v>26</v>
      </c>
      <c r="C117" s="59" t="s">
        <v>492</v>
      </c>
      <c r="D117" s="82">
        <v>90</v>
      </c>
      <c r="E117" s="59" t="s">
        <v>475</v>
      </c>
      <c r="F117" s="83" t="s">
        <v>367</v>
      </c>
      <c r="G117" s="30" t="s">
        <v>507</v>
      </c>
    </row>
    <row r="118" spans="1:7" ht="49.5" customHeight="1">
      <c r="A118" s="82" t="s">
        <v>25</v>
      </c>
      <c r="B118" s="60" t="s">
        <v>26</v>
      </c>
      <c r="C118" s="59" t="s">
        <v>493</v>
      </c>
      <c r="D118" s="82">
        <v>90</v>
      </c>
      <c r="E118" s="59" t="s">
        <v>475</v>
      </c>
      <c r="F118" s="83" t="s">
        <v>367</v>
      </c>
      <c r="G118" s="30" t="s">
        <v>507</v>
      </c>
    </row>
    <row r="119" spans="1:7" ht="49.5" customHeight="1">
      <c r="A119" s="82" t="s">
        <v>25</v>
      </c>
      <c r="B119" s="60" t="s">
        <v>26</v>
      </c>
      <c r="C119" s="59" t="s">
        <v>494</v>
      </c>
      <c r="D119" s="82">
        <v>90</v>
      </c>
      <c r="E119" s="59" t="s">
        <v>475</v>
      </c>
      <c r="F119" s="83" t="s">
        <v>367</v>
      </c>
      <c r="G119" s="30" t="s">
        <v>507</v>
      </c>
    </row>
    <row r="120" spans="1:7" ht="82.5" customHeight="1">
      <c r="A120" s="82" t="s">
        <v>25</v>
      </c>
      <c r="B120" s="60" t="s">
        <v>26</v>
      </c>
      <c r="C120" s="59" t="s">
        <v>495</v>
      </c>
      <c r="D120" s="82">
        <v>90</v>
      </c>
      <c r="E120" s="59" t="s">
        <v>475</v>
      </c>
      <c r="F120" s="83" t="s">
        <v>508</v>
      </c>
      <c r="G120" s="30" t="s">
        <v>509</v>
      </c>
    </row>
    <row r="121" spans="1:7" ht="16.5" customHeight="1">
      <c r="A121" s="82" t="s">
        <v>31</v>
      </c>
      <c r="B121" s="60" t="s">
        <v>32</v>
      </c>
      <c r="C121" s="59" t="s">
        <v>474</v>
      </c>
      <c r="D121" s="82">
        <v>90</v>
      </c>
      <c r="E121" s="59" t="s">
        <v>475</v>
      </c>
      <c r="F121" s="83" t="s">
        <v>367</v>
      </c>
      <c r="G121" s="30" t="s">
        <v>510</v>
      </c>
    </row>
    <row r="122" spans="1:7" ht="16.5" customHeight="1">
      <c r="A122" s="82" t="s">
        <v>31</v>
      </c>
      <c r="B122" s="60" t="s">
        <v>32</v>
      </c>
      <c r="C122" s="59" t="s">
        <v>477</v>
      </c>
      <c r="D122" s="82">
        <v>90</v>
      </c>
      <c r="E122" s="59" t="s">
        <v>475</v>
      </c>
      <c r="F122" s="83" t="s">
        <v>367</v>
      </c>
      <c r="G122" s="30" t="s">
        <v>510</v>
      </c>
    </row>
    <row r="123" spans="1:7" ht="16.5" customHeight="1">
      <c r="A123" s="82" t="s">
        <v>31</v>
      </c>
      <c r="B123" s="60" t="s">
        <v>32</v>
      </c>
      <c r="C123" s="59" t="s">
        <v>478</v>
      </c>
      <c r="D123" s="82">
        <v>90</v>
      </c>
      <c r="E123" s="59" t="s">
        <v>475</v>
      </c>
      <c r="F123" s="83" t="s">
        <v>367</v>
      </c>
      <c r="G123" s="30" t="s">
        <v>510</v>
      </c>
    </row>
    <row r="124" spans="1:7" ht="16.5" customHeight="1">
      <c r="A124" s="82" t="s">
        <v>31</v>
      </c>
      <c r="B124" s="60" t="s">
        <v>32</v>
      </c>
      <c r="C124" s="59" t="s">
        <v>479</v>
      </c>
      <c r="D124" s="82">
        <v>90</v>
      </c>
      <c r="E124" s="59" t="s">
        <v>475</v>
      </c>
      <c r="F124" s="83" t="s">
        <v>367</v>
      </c>
      <c r="G124" s="30" t="s">
        <v>510</v>
      </c>
    </row>
    <row r="125" spans="1:7" ht="16.5" customHeight="1">
      <c r="A125" s="82" t="s">
        <v>31</v>
      </c>
      <c r="B125" s="60" t="s">
        <v>32</v>
      </c>
      <c r="C125" s="59" t="s">
        <v>480</v>
      </c>
      <c r="D125" s="82">
        <v>90</v>
      </c>
      <c r="E125" s="59" t="s">
        <v>475</v>
      </c>
      <c r="F125" s="83" t="s">
        <v>367</v>
      </c>
      <c r="G125" s="30" t="s">
        <v>510</v>
      </c>
    </row>
    <row r="126" spans="1:7" ht="16.5" customHeight="1">
      <c r="A126" s="82" t="s">
        <v>31</v>
      </c>
      <c r="B126" s="60" t="s">
        <v>32</v>
      </c>
      <c r="C126" s="59" t="s">
        <v>481</v>
      </c>
      <c r="D126" s="82">
        <v>90</v>
      </c>
      <c r="E126" s="59" t="s">
        <v>475</v>
      </c>
      <c r="F126" s="83" t="s">
        <v>367</v>
      </c>
      <c r="G126" s="30" t="s">
        <v>510</v>
      </c>
    </row>
    <row r="127" spans="1:7" ht="16.5" customHeight="1">
      <c r="A127" s="82" t="s">
        <v>31</v>
      </c>
      <c r="B127" s="60" t="s">
        <v>32</v>
      </c>
      <c r="C127" s="59" t="s">
        <v>482</v>
      </c>
      <c r="D127" s="82">
        <v>90</v>
      </c>
      <c r="E127" s="59" t="s">
        <v>475</v>
      </c>
      <c r="F127" s="83" t="s">
        <v>367</v>
      </c>
      <c r="G127" s="30" t="s">
        <v>510</v>
      </c>
    </row>
    <row r="128" spans="1:7" ht="16.5" customHeight="1">
      <c r="A128" s="82" t="s">
        <v>31</v>
      </c>
      <c r="B128" s="60" t="s">
        <v>32</v>
      </c>
      <c r="C128" s="59" t="s">
        <v>483</v>
      </c>
      <c r="D128" s="82">
        <v>90</v>
      </c>
      <c r="E128" s="59" t="s">
        <v>475</v>
      </c>
      <c r="F128" s="83" t="s">
        <v>367</v>
      </c>
      <c r="G128" s="30" t="s">
        <v>510</v>
      </c>
    </row>
    <row r="129" spans="1:7" ht="16.5" customHeight="1">
      <c r="A129" s="82" t="s">
        <v>31</v>
      </c>
      <c r="B129" s="60" t="s">
        <v>32</v>
      </c>
      <c r="C129" s="59" t="s">
        <v>484</v>
      </c>
      <c r="D129" s="82">
        <v>90</v>
      </c>
      <c r="E129" s="59" t="s">
        <v>475</v>
      </c>
      <c r="F129" s="83" t="s">
        <v>367</v>
      </c>
      <c r="G129" s="30" t="s">
        <v>510</v>
      </c>
    </row>
    <row r="130" spans="1:7" ht="16.5" customHeight="1">
      <c r="A130" s="82" t="s">
        <v>31</v>
      </c>
      <c r="B130" s="60" t="s">
        <v>32</v>
      </c>
      <c r="C130" s="59" t="s">
        <v>486</v>
      </c>
      <c r="D130" s="82">
        <v>90</v>
      </c>
      <c r="E130" s="59" t="s">
        <v>475</v>
      </c>
      <c r="F130" s="83" t="s">
        <v>367</v>
      </c>
      <c r="G130" s="30" t="s">
        <v>510</v>
      </c>
    </row>
    <row r="131" spans="1:7" ht="16.5" customHeight="1">
      <c r="A131" s="82" t="s">
        <v>31</v>
      </c>
      <c r="B131" s="60" t="s">
        <v>32</v>
      </c>
      <c r="C131" s="59" t="s">
        <v>487</v>
      </c>
      <c r="D131" s="82">
        <v>90</v>
      </c>
      <c r="E131" s="59" t="s">
        <v>475</v>
      </c>
      <c r="F131" s="83" t="s">
        <v>367</v>
      </c>
      <c r="G131" s="30" t="s">
        <v>510</v>
      </c>
    </row>
    <row r="132" spans="1:7" ht="16.5" customHeight="1">
      <c r="A132" s="82" t="s">
        <v>31</v>
      </c>
      <c r="B132" s="60" t="s">
        <v>32</v>
      </c>
      <c r="C132" s="59" t="s">
        <v>488</v>
      </c>
      <c r="D132" s="82">
        <v>90</v>
      </c>
      <c r="E132" s="59" t="s">
        <v>475</v>
      </c>
      <c r="F132" s="83" t="s">
        <v>367</v>
      </c>
      <c r="G132" s="30" t="s">
        <v>510</v>
      </c>
    </row>
    <row r="133" spans="1:7" ht="16.5" customHeight="1">
      <c r="A133" s="82" t="s">
        <v>31</v>
      </c>
      <c r="B133" s="60" t="s">
        <v>32</v>
      </c>
      <c r="C133" s="59" t="s">
        <v>489</v>
      </c>
      <c r="D133" s="82">
        <v>90</v>
      </c>
      <c r="E133" s="59" t="s">
        <v>475</v>
      </c>
      <c r="F133" s="83" t="s">
        <v>367</v>
      </c>
      <c r="G133" s="30" t="s">
        <v>510</v>
      </c>
    </row>
    <row r="134" spans="1:7" ht="16.5" customHeight="1">
      <c r="A134" s="82" t="s">
        <v>31</v>
      </c>
      <c r="B134" s="60" t="s">
        <v>32</v>
      </c>
      <c r="C134" s="59" t="s">
        <v>490</v>
      </c>
      <c r="D134" s="82">
        <v>90</v>
      </c>
      <c r="E134" s="59" t="s">
        <v>475</v>
      </c>
      <c r="F134" s="83" t="s">
        <v>367</v>
      </c>
      <c r="G134" s="30" t="s">
        <v>510</v>
      </c>
    </row>
    <row r="135" spans="1:7" ht="16.5" customHeight="1">
      <c r="A135" s="82" t="s">
        <v>31</v>
      </c>
      <c r="B135" s="60" t="s">
        <v>32</v>
      </c>
      <c r="C135" s="59" t="s">
        <v>491</v>
      </c>
      <c r="D135" s="82">
        <v>90</v>
      </c>
      <c r="E135" s="59" t="s">
        <v>475</v>
      </c>
      <c r="F135" s="83" t="s">
        <v>367</v>
      </c>
      <c r="G135" s="30" t="s">
        <v>510</v>
      </c>
    </row>
    <row r="136" spans="1:7" ht="16.5" customHeight="1">
      <c r="A136" s="82" t="s">
        <v>31</v>
      </c>
      <c r="B136" s="60" t="s">
        <v>32</v>
      </c>
      <c r="C136" s="59" t="s">
        <v>492</v>
      </c>
      <c r="D136" s="82">
        <v>90</v>
      </c>
      <c r="E136" s="59" t="s">
        <v>475</v>
      </c>
      <c r="F136" s="83" t="s">
        <v>367</v>
      </c>
      <c r="G136" s="30" t="s">
        <v>510</v>
      </c>
    </row>
    <row r="137" spans="1:7" ht="66" customHeight="1">
      <c r="A137" s="82" t="s">
        <v>31</v>
      </c>
      <c r="B137" s="60" t="s">
        <v>32</v>
      </c>
      <c r="C137" s="59" t="s">
        <v>493</v>
      </c>
      <c r="D137" s="82">
        <v>90</v>
      </c>
      <c r="E137" s="59" t="s">
        <v>475</v>
      </c>
      <c r="F137" s="83" t="s">
        <v>508</v>
      </c>
      <c r="G137" s="30" t="s">
        <v>511</v>
      </c>
    </row>
    <row r="138" spans="1:7" ht="66" customHeight="1">
      <c r="A138" s="82" t="s">
        <v>31</v>
      </c>
      <c r="B138" s="60" t="s">
        <v>32</v>
      </c>
      <c r="C138" s="59" t="s">
        <v>494</v>
      </c>
      <c r="D138" s="82">
        <v>90</v>
      </c>
      <c r="E138" s="59" t="s">
        <v>475</v>
      </c>
      <c r="F138" s="83" t="s">
        <v>508</v>
      </c>
      <c r="G138" s="30" t="s">
        <v>511</v>
      </c>
    </row>
    <row r="139" spans="1:7" ht="66" customHeight="1">
      <c r="A139" s="82" t="s">
        <v>31</v>
      </c>
      <c r="B139" s="60" t="s">
        <v>32</v>
      </c>
      <c r="C139" s="59" t="s">
        <v>495</v>
      </c>
      <c r="D139" s="82">
        <v>90</v>
      </c>
      <c r="E139" s="59" t="s">
        <v>475</v>
      </c>
      <c r="F139" s="83" t="s">
        <v>508</v>
      </c>
      <c r="G139" s="30" t="s">
        <v>511</v>
      </c>
    </row>
    <row r="140" spans="1:7" ht="16.5" customHeight="1">
      <c r="A140" s="82" t="s">
        <v>28</v>
      </c>
      <c r="B140" s="60" t="s">
        <v>29</v>
      </c>
      <c r="C140" s="59" t="s">
        <v>474</v>
      </c>
      <c r="D140" s="82">
        <v>90</v>
      </c>
      <c r="E140" s="59" t="s">
        <v>475</v>
      </c>
    </row>
    <row r="141" spans="1:7" ht="16.5" customHeight="1">
      <c r="A141" s="82" t="s">
        <v>28</v>
      </c>
      <c r="B141" s="60" t="s">
        <v>29</v>
      </c>
      <c r="C141" s="59" t="s">
        <v>477</v>
      </c>
      <c r="D141" s="82">
        <v>90</v>
      </c>
      <c r="E141" s="59" t="s">
        <v>475</v>
      </c>
    </row>
    <row r="142" spans="1:7" ht="16.5" customHeight="1">
      <c r="A142" s="82" t="s">
        <v>28</v>
      </c>
      <c r="B142" s="60" t="s">
        <v>29</v>
      </c>
      <c r="C142" s="59" t="s">
        <v>478</v>
      </c>
      <c r="D142" s="82">
        <v>90</v>
      </c>
      <c r="E142" s="59" t="s">
        <v>475</v>
      </c>
    </row>
    <row r="143" spans="1:7" ht="16.5" customHeight="1">
      <c r="A143" s="82" t="s">
        <v>28</v>
      </c>
      <c r="B143" s="60" t="s">
        <v>29</v>
      </c>
      <c r="C143" s="59" t="s">
        <v>479</v>
      </c>
      <c r="D143" s="82">
        <v>90</v>
      </c>
      <c r="E143" s="59" t="s">
        <v>475</v>
      </c>
    </row>
    <row r="144" spans="1:7" ht="16.5" customHeight="1">
      <c r="A144" s="82" t="s">
        <v>28</v>
      </c>
      <c r="B144" s="60" t="s">
        <v>29</v>
      </c>
      <c r="C144" s="59" t="s">
        <v>480</v>
      </c>
      <c r="D144" s="82">
        <v>90</v>
      </c>
      <c r="E144" s="59" t="s">
        <v>475</v>
      </c>
    </row>
    <row r="145" spans="1:5" ht="16.5" customHeight="1">
      <c r="A145" s="82" t="s">
        <v>28</v>
      </c>
      <c r="B145" s="60" t="s">
        <v>29</v>
      </c>
      <c r="C145" s="59" t="s">
        <v>481</v>
      </c>
      <c r="D145" s="82">
        <v>90</v>
      </c>
      <c r="E145" s="59" t="s">
        <v>475</v>
      </c>
    </row>
    <row r="146" spans="1:5" ht="16.5" customHeight="1">
      <c r="A146" s="82" t="s">
        <v>28</v>
      </c>
      <c r="B146" s="60" t="s">
        <v>29</v>
      </c>
      <c r="C146" s="59" t="s">
        <v>482</v>
      </c>
      <c r="D146" s="82">
        <v>90</v>
      </c>
      <c r="E146" s="59" t="s">
        <v>475</v>
      </c>
    </row>
    <row r="147" spans="1:5" ht="16.5" customHeight="1">
      <c r="A147" s="82" t="s">
        <v>28</v>
      </c>
      <c r="B147" s="60" t="s">
        <v>29</v>
      </c>
      <c r="C147" s="59" t="s">
        <v>483</v>
      </c>
      <c r="D147" s="82">
        <v>90</v>
      </c>
      <c r="E147" s="59" t="s">
        <v>475</v>
      </c>
    </row>
    <row r="148" spans="1:5" ht="16.5" customHeight="1">
      <c r="A148" s="82" t="s">
        <v>28</v>
      </c>
      <c r="B148" s="60" t="s">
        <v>29</v>
      </c>
      <c r="C148" s="59" t="s">
        <v>484</v>
      </c>
      <c r="D148" s="82">
        <v>90</v>
      </c>
      <c r="E148" s="59" t="s">
        <v>475</v>
      </c>
    </row>
    <row r="149" spans="1:5" ht="16.5" customHeight="1">
      <c r="A149" s="82" t="s">
        <v>28</v>
      </c>
      <c r="B149" s="60" t="s">
        <v>29</v>
      </c>
      <c r="C149" s="59" t="s">
        <v>486</v>
      </c>
      <c r="D149" s="82">
        <v>90</v>
      </c>
      <c r="E149" s="59" t="s">
        <v>475</v>
      </c>
    </row>
    <row r="150" spans="1:5" ht="16.5" customHeight="1">
      <c r="A150" s="82" t="s">
        <v>28</v>
      </c>
      <c r="B150" s="60" t="s">
        <v>29</v>
      </c>
      <c r="C150" s="59" t="s">
        <v>487</v>
      </c>
      <c r="D150" s="82">
        <v>90</v>
      </c>
      <c r="E150" s="59" t="s">
        <v>475</v>
      </c>
    </row>
    <row r="151" spans="1:5" ht="16.5" customHeight="1">
      <c r="A151" s="82" t="s">
        <v>28</v>
      </c>
      <c r="B151" s="60" t="s">
        <v>29</v>
      </c>
      <c r="C151" s="59" t="s">
        <v>488</v>
      </c>
      <c r="D151" s="82">
        <v>90</v>
      </c>
      <c r="E151" s="59" t="s">
        <v>475</v>
      </c>
    </row>
    <row r="152" spans="1:5" ht="16.5" customHeight="1">
      <c r="A152" s="82" t="s">
        <v>28</v>
      </c>
      <c r="B152" s="60" t="s">
        <v>29</v>
      </c>
      <c r="C152" s="59" t="s">
        <v>489</v>
      </c>
      <c r="D152" s="82">
        <v>90</v>
      </c>
      <c r="E152" s="59" t="s">
        <v>475</v>
      </c>
    </row>
    <row r="153" spans="1:5" ht="16.5" customHeight="1">
      <c r="A153" s="82" t="s">
        <v>28</v>
      </c>
      <c r="B153" s="60" t="s">
        <v>29</v>
      </c>
      <c r="C153" s="59" t="s">
        <v>490</v>
      </c>
      <c r="D153" s="82">
        <v>90</v>
      </c>
      <c r="E153" s="59" t="s">
        <v>475</v>
      </c>
    </row>
    <row r="154" spans="1:5" ht="16.5" customHeight="1">
      <c r="A154" s="82" t="s">
        <v>28</v>
      </c>
      <c r="B154" s="60" t="s">
        <v>29</v>
      </c>
      <c r="C154" s="59" t="s">
        <v>491</v>
      </c>
      <c r="D154" s="82">
        <v>90</v>
      </c>
      <c r="E154" s="59" t="s">
        <v>475</v>
      </c>
    </row>
    <row r="155" spans="1:5" ht="16.5" customHeight="1">
      <c r="A155" s="82" t="s">
        <v>28</v>
      </c>
      <c r="B155" s="60" t="s">
        <v>29</v>
      </c>
      <c r="C155" s="59" t="s">
        <v>492</v>
      </c>
      <c r="D155" s="82">
        <v>90</v>
      </c>
      <c r="E155" s="59" t="s">
        <v>475</v>
      </c>
    </row>
    <row r="156" spans="1:5" ht="16.5" customHeight="1">
      <c r="A156" s="82" t="s">
        <v>28</v>
      </c>
      <c r="B156" s="60" t="s">
        <v>29</v>
      </c>
      <c r="C156" s="59" t="s">
        <v>493</v>
      </c>
      <c r="D156" s="82">
        <v>90</v>
      </c>
      <c r="E156" s="59" t="s">
        <v>475</v>
      </c>
    </row>
    <row r="157" spans="1:5" ht="16.5" customHeight="1">
      <c r="A157" s="82" t="s">
        <v>28</v>
      </c>
      <c r="B157" s="60" t="s">
        <v>29</v>
      </c>
      <c r="C157" s="59" t="s">
        <v>494</v>
      </c>
      <c r="D157" s="82">
        <v>90</v>
      </c>
      <c r="E157" s="59" t="s">
        <v>475</v>
      </c>
    </row>
    <row r="158" spans="1:5" ht="16.5" customHeight="1">
      <c r="A158" s="82" t="s">
        <v>28</v>
      </c>
      <c r="B158" s="60" t="s">
        <v>29</v>
      </c>
      <c r="C158" s="59" t="s">
        <v>495</v>
      </c>
      <c r="D158" s="82">
        <v>90</v>
      </c>
      <c r="E158" s="59" t="s">
        <v>475</v>
      </c>
    </row>
    <row r="159" spans="1:5" ht="16.5" customHeight="1">
      <c r="A159" s="82" t="s">
        <v>19</v>
      </c>
      <c r="B159" s="60" t="s">
        <v>33</v>
      </c>
      <c r="C159" s="59" t="s">
        <v>474</v>
      </c>
      <c r="D159" s="82">
        <v>90</v>
      </c>
      <c r="E159" s="59" t="s">
        <v>475</v>
      </c>
    </row>
    <row r="160" spans="1:5" ht="16.5" customHeight="1">
      <c r="A160" s="82" t="s">
        <v>19</v>
      </c>
      <c r="B160" s="60" t="s">
        <v>33</v>
      </c>
      <c r="C160" s="59" t="s">
        <v>477</v>
      </c>
      <c r="D160" s="82">
        <v>90</v>
      </c>
      <c r="E160" s="59" t="s">
        <v>475</v>
      </c>
    </row>
    <row r="161" spans="1:5" ht="16.5" customHeight="1">
      <c r="A161" s="82" t="s">
        <v>19</v>
      </c>
      <c r="B161" s="60" t="s">
        <v>33</v>
      </c>
      <c r="C161" s="59" t="s">
        <v>478</v>
      </c>
      <c r="D161" s="82">
        <v>90</v>
      </c>
      <c r="E161" s="59" t="s">
        <v>475</v>
      </c>
    </row>
    <row r="162" spans="1:5" ht="16.5" customHeight="1">
      <c r="A162" s="82" t="s">
        <v>19</v>
      </c>
      <c r="B162" s="60" t="s">
        <v>33</v>
      </c>
      <c r="C162" s="59" t="s">
        <v>479</v>
      </c>
      <c r="D162" s="82">
        <v>90</v>
      </c>
      <c r="E162" s="59" t="s">
        <v>475</v>
      </c>
    </row>
    <row r="163" spans="1:5" ht="16.5" customHeight="1">
      <c r="A163" s="82" t="s">
        <v>19</v>
      </c>
      <c r="B163" s="60" t="s">
        <v>33</v>
      </c>
      <c r="C163" s="59" t="s">
        <v>480</v>
      </c>
      <c r="D163" s="82">
        <v>90</v>
      </c>
      <c r="E163" s="59" t="s">
        <v>475</v>
      </c>
    </row>
    <row r="164" spans="1:5" ht="16.5" customHeight="1">
      <c r="A164" s="82" t="s">
        <v>19</v>
      </c>
      <c r="B164" s="60" t="s">
        <v>33</v>
      </c>
      <c r="C164" s="59" t="s">
        <v>481</v>
      </c>
      <c r="D164" s="82">
        <v>90</v>
      </c>
      <c r="E164" s="59" t="s">
        <v>475</v>
      </c>
    </row>
    <row r="165" spans="1:5" ht="16.5" customHeight="1">
      <c r="A165" s="82" t="s">
        <v>19</v>
      </c>
      <c r="B165" s="60" t="s">
        <v>33</v>
      </c>
      <c r="C165" s="59" t="s">
        <v>482</v>
      </c>
      <c r="D165" s="82">
        <v>90</v>
      </c>
      <c r="E165" s="59" t="s">
        <v>475</v>
      </c>
    </row>
    <row r="166" spans="1:5" ht="16.5" customHeight="1">
      <c r="A166" s="82" t="s">
        <v>19</v>
      </c>
      <c r="B166" s="60" t="s">
        <v>33</v>
      </c>
      <c r="C166" s="59" t="s">
        <v>483</v>
      </c>
      <c r="D166" s="82">
        <v>90</v>
      </c>
      <c r="E166" s="59" t="s">
        <v>475</v>
      </c>
    </row>
    <row r="167" spans="1:5" ht="16.5" customHeight="1">
      <c r="A167" s="82" t="s">
        <v>19</v>
      </c>
      <c r="B167" s="60" t="s">
        <v>33</v>
      </c>
      <c r="C167" s="59" t="s">
        <v>484</v>
      </c>
      <c r="D167" s="82">
        <v>90</v>
      </c>
      <c r="E167" s="59" t="s">
        <v>475</v>
      </c>
    </row>
    <row r="168" spans="1:5" ht="16.5" customHeight="1">
      <c r="A168" s="82" t="s">
        <v>19</v>
      </c>
      <c r="B168" s="60" t="s">
        <v>33</v>
      </c>
      <c r="C168" s="59" t="s">
        <v>486</v>
      </c>
      <c r="D168" s="82">
        <v>90</v>
      </c>
      <c r="E168" s="59" t="s">
        <v>475</v>
      </c>
    </row>
    <row r="169" spans="1:5" ht="16.5" customHeight="1">
      <c r="A169" s="82" t="s">
        <v>19</v>
      </c>
      <c r="B169" s="60" t="s">
        <v>33</v>
      </c>
      <c r="C169" s="59" t="s">
        <v>487</v>
      </c>
      <c r="D169" s="82">
        <v>90</v>
      </c>
      <c r="E169" s="59" t="s">
        <v>475</v>
      </c>
    </row>
    <row r="170" spans="1:5" ht="16.5" customHeight="1">
      <c r="A170" s="82" t="s">
        <v>19</v>
      </c>
      <c r="B170" s="60" t="s">
        <v>33</v>
      </c>
      <c r="C170" s="59" t="s">
        <v>488</v>
      </c>
      <c r="D170" s="82">
        <v>90</v>
      </c>
      <c r="E170" s="59" t="s">
        <v>475</v>
      </c>
    </row>
    <row r="171" spans="1:5" ht="16.5" customHeight="1">
      <c r="A171" s="82" t="s">
        <v>19</v>
      </c>
      <c r="B171" s="60" t="s">
        <v>33</v>
      </c>
      <c r="C171" s="59" t="s">
        <v>489</v>
      </c>
      <c r="D171" s="82">
        <v>90</v>
      </c>
      <c r="E171" s="59" t="s">
        <v>475</v>
      </c>
    </row>
    <row r="172" spans="1:5" ht="16.5" customHeight="1">
      <c r="A172" s="82" t="s">
        <v>19</v>
      </c>
      <c r="B172" s="60" t="s">
        <v>33</v>
      </c>
      <c r="C172" s="59" t="s">
        <v>490</v>
      </c>
      <c r="D172" s="82">
        <v>90</v>
      </c>
      <c r="E172" s="59" t="s">
        <v>475</v>
      </c>
    </row>
    <row r="173" spans="1:5" ht="16.5" customHeight="1">
      <c r="A173" s="82" t="s">
        <v>19</v>
      </c>
      <c r="B173" s="60" t="s">
        <v>33</v>
      </c>
      <c r="C173" s="59" t="s">
        <v>491</v>
      </c>
      <c r="D173" s="82">
        <v>90</v>
      </c>
      <c r="E173" s="59" t="s">
        <v>475</v>
      </c>
    </row>
    <row r="174" spans="1:5" ht="16.5" customHeight="1">
      <c r="A174" s="82" t="s">
        <v>19</v>
      </c>
      <c r="B174" s="60" t="s">
        <v>33</v>
      </c>
      <c r="C174" s="59" t="s">
        <v>492</v>
      </c>
      <c r="D174" s="82">
        <v>90</v>
      </c>
      <c r="E174" s="59" t="s">
        <v>475</v>
      </c>
    </row>
    <row r="175" spans="1:5" ht="16.5" customHeight="1">
      <c r="A175" s="82" t="s">
        <v>19</v>
      </c>
      <c r="B175" s="60" t="s">
        <v>33</v>
      </c>
      <c r="C175" s="59" t="s">
        <v>493</v>
      </c>
      <c r="D175" s="82">
        <v>90</v>
      </c>
      <c r="E175" s="59" t="s">
        <v>475</v>
      </c>
    </row>
    <row r="176" spans="1:5" ht="16.5" customHeight="1">
      <c r="A176" s="82" t="s">
        <v>19</v>
      </c>
      <c r="B176" s="60" t="s">
        <v>33</v>
      </c>
      <c r="C176" s="59" t="s">
        <v>494</v>
      </c>
      <c r="D176" s="82">
        <v>90</v>
      </c>
      <c r="E176" s="59" t="s">
        <v>475</v>
      </c>
    </row>
  </sheetData>
  <phoneticPr fontId="2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サマリー</vt:lpstr>
      <vt:lpstr>拠点別設定値</vt:lpstr>
      <vt:lpstr>列加工定義</vt:lpstr>
      <vt:lpstr>変数定義一覧</vt:lpstr>
      <vt:lpstr>要確認事項</vt:lpstr>
      <vt:lpstr>発注点リセット_部署別設定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塚田　淳一</cp:lastModifiedBy>
  <dcterms:modified xsi:type="dcterms:W3CDTF">2026-08-31T08:02:11Z</dcterms:modified>
</cp:coreProperties>
</file>