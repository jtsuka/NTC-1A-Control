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HPDB\"/>
    </mc:Choice>
  </mc:AlternateContent>
  <xr:revisionPtr revIDLastSave="0" documentId="13_ncr:1_{BA092666-1F78-4A89-A256-17D6FB36F665}" xr6:coauthVersionLast="47" xr6:coauthVersionMax="47" xr10:uidLastSave="{00000000-0000-0000-0000-000000000000}"/>
  <bookViews>
    <workbookView xWindow="-120" yWindow="-120" windowWidth="29040" windowHeight="15720" activeTab="1" xr2:uid="{00000000-000D-0000-FFFF-FFFF00000000}"/>
  </bookViews>
  <sheets>
    <sheet name="サマリー" sheetId="1" r:id="rId1"/>
    <sheet name="拠点別設定値" sheetId="2" r:id="rId2"/>
    <sheet name="管理対象外シート" sheetId="7" r:id="rId3"/>
    <sheet name="列加工定義" sheetId="3" r:id="rId4"/>
    <sheet name="変数定義一覧" sheetId="4" r:id="rId5"/>
    <sheet name="要確認事項" sheetId="5" r:id="rId6"/>
    <sheet name="発注点リセット_部署別設定"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3" l="1"/>
  <c r="I41" i="3"/>
  <c r="H41" i="3"/>
  <c r="F41" i="3"/>
  <c r="D41" i="3"/>
  <c r="A41" i="3"/>
  <c r="L40" i="3"/>
  <c r="I40" i="3"/>
  <c r="H40" i="3"/>
  <c r="F40" i="3"/>
  <c r="D40" i="3"/>
  <c r="A40" i="3"/>
  <c r="L39" i="3"/>
  <c r="I39" i="3"/>
  <c r="H39" i="3"/>
  <c r="F39" i="3"/>
  <c r="D39" i="3"/>
  <c r="A39" i="3"/>
  <c r="L38" i="3"/>
  <c r="I38" i="3"/>
  <c r="H38" i="3"/>
  <c r="F38" i="3"/>
  <c r="D38" i="3"/>
  <c r="A38" i="3"/>
  <c r="L37" i="3"/>
  <c r="I37" i="3"/>
  <c r="H37" i="3"/>
  <c r="F37" i="3"/>
  <c r="D37" i="3"/>
  <c r="A37" i="3"/>
  <c r="L36" i="3"/>
  <c r="I36" i="3"/>
  <c r="H36" i="3"/>
  <c r="F36" i="3"/>
  <c r="D36" i="3"/>
  <c r="A36" i="3"/>
  <c r="L35" i="3"/>
  <c r="I35" i="3"/>
  <c r="H35" i="3"/>
  <c r="F35" i="3"/>
  <c r="D35" i="3"/>
  <c r="A35" i="3"/>
  <c r="L34" i="3"/>
  <c r="I34" i="3"/>
  <c r="H34" i="3"/>
  <c r="F34" i="3"/>
  <c r="D34" i="3"/>
  <c r="A34" i="3"/>
  <c r="L33" i="3"/>
  <c r="I33" i="3"/>
  <c r="H33" i="3"/>
  <c r="F33" i="3"/>
  <c r="D33" i="3"/>
  <c r="A33" i="3"/>
  <c r="L32" i="3"/>
  <c r="I32" i="3"/>
  <c r="H32" i="3"/>
  <c r="F32" i="3"/>
  <c r="D32" i="3"/>
  <c r="A32" i="3"/>
  <c r="L31" i="3"/>
  <c r="I31" i="3"/>
  <c r="H31" i="3"/>
  <c r="F31" i="3"/>
  <c r="D31" i="3"/>
  <c r="A31" i="3"/>
  <c r="L30" i="3"/>
  <c r="I30" i="3"/>
  <c r="H30" i="3"/>
  <c r="F30" i="3"/>
  <c r="D30" i="3"/>
  <c r="A30" i="3"/>
  <c r="L29" i="3"/>
  <c r="I29" i="3"/>
  <c r="H29" i="3"/>
  <c r="F29" i="3"/>
  <c r="D29" i="3"/>
  <c r="A29" i="3"/>
  <c r="L28" i="3"/>
  <c r="I28" i="3"/>
  <c r="H28" i="3"/>
  <c r="F28" i="3"/>
  <c r="D28" i="3"/>
  <c r="A28" i="3"/>
  <c r="L27" i="3"/>
  <c r="I27" i="3"/>
  <c r="H27" i="3"/>
  <c r="F27" i="3"/>
  <c r="D27" i="3"/>
  <c r="A27" i="3"/>
  <c r="L26" i="3"/>
  <c r="I26" i="3"/>
  <c r="H26" i="3"/>
  <c r="F26" i="3"/>
  <c r="D26" i="3"/>
  <c r="A26" i="3"/>
  <c r="L25" i="3"/>
  <c r="I25" i="3"/>
  <c r="H25" i="3"/>
  <c r="F25" i="3"/>
  <c r="D25" i="3"/>
  <c r="A25" i="3"/>
  <c r="L24" i="3"/>
  <c r="I24" i="3"/>
  <c r="H24" i="3"/>
  <c r="F24" i="3"/>
  <c r="D24" i="3"/>
  <c r="A24" i="3"/>
  <c r="L23" i="3"/>
  <c r="I23" i="3"/>
  <c r="H23" i="3"/>
  <c r="F23" i="3"/>
  <c r="D23" i="3"/>
  <c r="A23" i="3"/>
  <c r="L22" i="3"/>
  <c r="I22" i="3"/>
  <c r="H22" i="3"/>
  <c r="F22" i="3"/>
  <c r="D22" i="3"/>
  <c r="A22" i="3"/>
  <c r="L21" i="3"/>
  <c r="I21" i="3"/>
  <c r="H21" i="3"/>
  <c r="F21" i="3"/>
  <c r="D21" i="3"/>
  <c r="A21" i="3"/>
  <c r="L20" i="3"/>
  <c r="I20" i="3"/>
  <c r="H20" i="3"/>
  <c r="F20" i="3"/>
  <c r="D20" i="3"/>
  <c r="A20" i="3"/>
  <c r="L19" i="3"/>
  <c r="I19" i="3"/>
  <c r="H19" i="3"/>
  <c r="F19" i="3"/>
  <c r="D19" i="3"/>
  <c r="A19" i="3"/>
  <c r="L18" i="3"/>
  <c r="I18" i="3"/>
  <c r="H18" i="3"/>
  <c r="F18" i="3"/>
  <c r="D18" i="3"/>
  <c r="A18" i="3"/>
  <c r="L17" i="3"/>
  <c r="I17" i="3"/>
  <c r="H17" i="3"/>
  <c r="F17" i="3"/>
  <c r="D17" i="3"/>
  <c r="A17" i="3"/>
  <c r="L16" i="3"/>
  <c r="I16" i="3"/>
  <c r="H16" i="3"/>
  <c r="F16" i="3"/>
  <c r="D16" i="3"/>
  <c r="A16" i="3"/>
  <c r="L15" i="3"/>
  <c r="I15" i="3"/>
  <c r="H15" i="3"/>
  <c r="F15" i="3"/>
  <c r="D15" i="3"/>
  <c r="A15" i="3"/>
  <c r="L14" i="3"/>
  <c r="I14" i="3"/>
  <c r="H14" i="3"/>
  <c r="F14" i="3"/>
  <c r="D14" i="3"/>
  <c r="A14" i="3"/>
  <c r="L13" i="3"/>
  <c r="I13" i="3"/>
  <c r="H13" i="3"/>
  <c r="F13" i="3"/>
  <c r="D13" i="3"/>
  <c r="A13" i="3"/>
  <c r="L12" i="3"/>
  <c r="I12" i="3"/>
  <c r="H12" i="3"/>
  <c r="F12" i="3"/>
  <c r="D12" i="3"/>
  <c r="A12" i="3"/>
  <c r="L11" i="3"/>
  <c r="I11" i="3"/>
  <c r="H11" i="3"/>
  <c r="F11" i="3"/>
  <c r="D11" i="3"/>
  <c r="A11" i="3"/>
  <c r="L10" i="3"/>
  <c r="I10" i="3"/>
  <c r="H10" i="3"/>
  <c r="F10" i="3"/>
  <c r="D10" i="3"/>
  <c r="A10" i="3"/>
  <c r="L9" i="3"/>
  <c r="I9" i="3"/>
  <c r="H9" i="3"/>
  <c r="F9" i="3"/>
  <c r="D9" i="3"/>
  <c r="A9" i="3"/>
  <c r="L8" i="3"/>
  <c r="I8" i="3"/>
  <c r="H8" i="3"/>
  <c r="F8" i="3"/>
  <c r="D8" i="3"/>
  <c r="A8" i="3"/>
  <c r="L7" i="3"/>
  <c r="I7" i="3"/>
  <c r="H7" i="3"/>
  <c r="F7" i="3"/>
  <c r="D7" i="3"/>
  <c r="A7" i="3"/>
  <c r="L6" i="3"/>
  <c r="I6" i="3"/>
  <c r="H6" i="3"/>
  <c r="F6" i="3"/>
  <c r="D6" i="3"/>
  <c r="A6" i="3"/>
  <c r="L5" i="3"/>
  <c r="I5" i="3"/>
  <c r="H5" i="3"/>
  <c r="F5" i="3"/>
  <c r="D5" i="3"/>
  <c r="A5" i="3"/>
  <c r="L4" i="3"/>
  <c r="I4" i="3"/>
  <c r="H4" i="3"/>
  <c r="F4" i="3"/>
  <c r="D4" i="3"/>
  <c r="A4" i="3"/>
  <c r="L3" i="3"/>
  <c r="I3" i="3"/>
  <c r="H3" i="3"/>
  <c r="F3" i="3"/>
  <c r="D3" i="3"/>
  <c r="A3" i="3"/>
  <c r="L2" i="3"/>
  <c r="I2" i="3"/>
  <c r="H2" i="3"/>
  <c r="F2" i="3"/>
  <c r="D2" i="3"/>
  <c r="A2" i="3"/>
</calcChain>
</file>

<file path=xl/sharedStrings.xml><?xml version="1.0" encoding="utf-8"?>
<sst xmlns="http://schemas.openxmlformats.org/spreadsheetml/2006/main" count="2022" uniqueCount="519">
  <si>
    <t>在庫チェックRPA統合化プロジェクト　拠点別変数表　サマリー</t>
  </si>
  <si>
    <t>最終更新：2026年7月6日／企画室　天野</t>
  </si>
  <si>
    <t>■ 対象拠点(拠点別設定値シートに全9行、9拠点とも共通ループで実行)</t>
  </si>
  <si>
    <t>拠点コード</t>
  </si>
  <si>
    <t>拠点名</t>
  </si>
  <si>
    <t>稼働フラグ</t>
  </si>
  <si>
    <t>処理シート範囲</t>
  </si>
  <si>
    <t>発注点リセット基準日確認</t>
  </si>
  <si>
    <t>Z1901</t>
  </si>
  <si>
    <t>札幌</t>
  </si>
  <si>
    <t>有</t>
  </si>
  <si>
    <t>1〜19</t>
  </si>
  <si>
    <t>実ファイル確認済み</t>
  </si>
  <si>
    <t>Z3932</t>
  </si>
  <si>
    <t>倉庫(本社)</t>
  </si>
  <si>
    <t>1〜20</t>
  </si>
  <si>
    <t>Z3951</t>
  </si>
  <si>
    <t>製造(大型)</t>
  </si>
  <si>
    <t>1〜8</t>
  </si>
  <si>
    <t>Z3934</t>
  </si>
  <si>
    <t>外注鉄</t>
  </si>
  <si>
    <t>1〜27</t>
  </si>
  <si>
    <t>Z1915</t>
  </si>
  <si>
    <t>船舶(機械部)</t>
  </si>
  <si>
    <t>1〜25</t>
  </si>
  <si>
    <t>Z1903</t>
  </si>
  <si>
    <t>仙台</t>
  </si>
  <si>
    <t>1〜18</t>
  </si>
  <si>
    <t>Z1907</t>
  </si>
  <si>
    <t>福岡</t>
  </si>
  <si>
    <t>未確認(PDFのみ)</t>
  </si>
  <si>
    <t>Z1905</t>
  </si>
  <si>
    <t>東京</t>
  </si>
  <si>
    <t>成果連絡表(色物)</t>
  </si>
  <si>
    <t>有(2026/7/3時点、共有フォルダで本日更新を確認済み)</t>
  </si>
  <si>
    <t>未確認(要現物確認)</t>
  </si>
  <si>
    <t>■ 2026/7/6 設計確定：成果連絡表(色物)は9拠点目として統合</t>
  </si>
  <si>
    <t>成果連絡表(色物)は拠点別設定値シートの9行目(拠点コード=Z3934/成果連絡表(色物))に統合し、他8拠点と同じ共通ループで実行する。以前記録していた「統合は見送り」は別シナリオとの混同であったため訂正(2026/7/6)。副CSV要否などの拠点固有差異は「CSVデータセット数」「副CSVファイル名」の有無によるデータドリブン判定で吸収し、個別の特別処理は設けない設計とする。
2026/7/6 「拠点ループ対象」列は廃止し、先頭列に新設した「処理有無」列(テスト・保留パラメータ管理用の可変スイッチ)に役割を一本化した。</t>
  </si>
  <si>
    <t>■ 要確認事項シート ステータス集計</t>
  </si>
  <si>
    <t>未確認</t>
  </si>
  <si>
    <t>14件</t>
  </si>
  <si>
    <t>決定済み</t>
  </si>
  <si>
    <t>22件</t>
  </si>
  <si>
    <t>確認済み・再評価等</t>
  </si>
  <si>
    <t>8件</t>
  </si>
  <si>
    <t>回答待ち(暫定反映)</t>
  </si>
  <si>
    <t>0件</t>
  </si>
  <si>
    <t>合計</t>
  </si>
  <si>
    <t>44件</t>
  </si>
  <si>
    <t>■ 荘田室長への最優先確認事項(未回答分)</t>
  </si>
  <si>
    <t>・東京：シートループ回数と実部署数の不一致は「業務的な未整備状態(バグではない)」と整理 → 統合版では処理対象シート_終了番号を19に是正済み</t>
  </si>
  <si>
    <t>・東京：実際に現在も稼働しているか(ローカルPC側)は未確認のまま。運用実態の直接確認が望ましい。
　※2026/7/6 シナリオPDF確認で判明した「特定ユーザー(ts226010)のパスをハードコードしている」問題自体は、2026/7/6 天野決定により{UserDeskTopPath}変数への統一＋デスクトップ配下の運用配置で解消済み（要確認事項#30 決定済み）。稼働可否そのものの確認（実ファイル更新停滞・稼働フラグ「無」の件、#35・#37参照）は別途継続。</t>
  </si>
  <si>
    <t>・福岡：発注点リセット基準日数(部署別)が実ファイル未入手のため未確認</t>
  </si>
  <si>
    <t>・仙台：19枚目シート(異常データ)がループ対象外である理由 → 2026/7/6 決定：終了番号が実在シート数より小さい場合は単なるスキップでよいという一般ルールが確定し、仙台は終了番号=18のままでよいことが確定</t>
  </si>
  <si>
    <t>■ 2026/7/6 荘田室長より正式回答受領（確定）</t>
  </si>
  <si>
    <t>・①外注鉄O列(発注点-在庫数差分)の転記先 → 確定：問題なし(各拠点共通処理化)。規定日数超過時に差分を発注点へ書き換え、発注点を引き下げる業務ロジックと判明</t>
  </si>
  <si>
    <t>・②発注点リセット基準日数のシート単位管理方式 → 確定：問題なし(便利)。仕入れリードタイム変更等でシート単位に基準日数を変えて運用してきた実績あり</t>
  </si>
  <si>
    <t>・③仙台のシート数19とループ回数18の不一致 → 確定：OK(対象コード消滅シートを空回りさせないため可変ループでよい)
　(終了番号&lt;実在シート数の場合は単なるスキップ、終了番号&gt;実在シート数の場合はエラーとする一般ルールを別途確定。仙台は前者に該当)</t>
  </si>
  <si>
    <t>・④外注鉄／成果連絡表(色物)の日付重複(=TODAY()と確定値) → ★想定と相違：設計ではなくコピー時の消し忘れの可能性大。実害なければどちらか一方を削除する方針に変更</t>
  </si>
  <si>
    <t>・⑤外注鉄3シートのコピペ形式(すべて→値のみ) → 確定：値のみコピーで統一してよい</t>
  </si>
  <si>
    <t>　※2026/7/6 荘田室長より正式回答受領済み。①②③⑤は想定通り確定。④のみ想定と異なり、実装方針を修正(重複列のどちらかを削除)。</t>
  </si>
  <si>
    <t>■ 実装上の注意点(RK-10シナリオ設計)</t>
  </si>
  <si>
    <t>・2026/7/6 判明：「Excel・CSVファイルから表を抽出」アクティビティは、対象範囲が全セル罫線(格子線)で囲まれていないと表として認識できず抽出に失敗する。</t>
  </si>
  <si>
    <t>　→本ファイル(拠点別変数表.xlsx)はRPAシナリオからは読み取り専用(表を抽出するだけで書き換えは行わない)で、更新は天野さんの手動編集のみのため、PowerShellでの自動チェック・自動修正の仕組みは不要と判断(日計RPAのCheck-ExcelBorders.ps1等とは性質が異なる)。</t>
  </si>
  <si>
    <t>　→拠点追加・項目追加などでシートを手動編集した際は、ヘッダー行〜データ行まで罫線が崩れていないか目視確認すること。</t>
  </si>
  <si>
    <t>・2026/7/6 設計変更：「拠点別設定値」と「個別管理シナリオ(拠点ループ対象外)」の2シート構成は廃止し、成果連絡表(色物)を拠点別設定値シートの9行目に統合。9行とも共通の8→9拠点ループで実行し、表の抽出は1回のみ。副CSVの要否などの拠点固有差異は「CSVデータセット数」「副CSVファイル名」等の値の有無でデータドリブンに判定し、拠点別・個別のIF分岐は設けない設計とした。</t>
  </si>
  <si>
    <t>■ 運用課題(要検討・未決定)：実行時間帯とライセンス制約</t>
  </si>
  <si>
    <t>2026/7/6 天野指摘：1拠点あたり約40分。現行の先行4拠点(倉庫/製造/外注鉄/船舶)で40分×4本=約160分。9拠点(成果連絡表(色物)含む)全てを組み込むと40分×9本=約360分(6時間)となり、朝2:30〜7:00の実行枠(約270分)に収まらない可能性が高い。</t>
  </si>
  <si>
    <t>対策候補(2026/7/6時点、未決定)：①一部拠点を9:00からの午前中駆動など別時間帯に分割実行②他PCでの並行実行(ただしライセンス数・他部署の利用時間帯への配慮が必要)③「処理有無」列を使って曜日・日付・時間帯によって動的に有効/無効を切り替える運用。</t>
  </si>
  <si>
    <t>9拠点統合が完了する前に、実行時間の実測値をもとにスケジュール設計を確定させる必要がある。</t>
  </si>
  <si>
    <t>在庫チェックRPA統合版　拠点別設定値テーブル（このシートを統合シナリオが参照する）</t>
  </si>
  <si>
    <t>基本情報</t>
  </si>
  <si>
    <t>稼働管理</t>
  </si>
  <si>
    <t>処理対象シート範囲</t>
  </si>
  <si>
    <t>格納フォルダ管理</t>
  </si>
  <si>
    <t>処理有無</t>
  </si>
  <si>
    <t>処理有無_備考</t>
  </si>
  <si>
    <t>TIMS起動引数</t>
  </si>
  <si>
    <t>CSVファイル名</t>
  </si>
  <si>
    <t>在庫帳ブック名</t>
  </si>
  <si>
    <t>参照元(ネットワーク)フルパス</t>
  </si>
  <si>
    <t>保存先(ネットワーク)フルパス</t>
  </si>
  <si>
    <t>欠品_列挿入位置</t>
  </si>
  <si>
    <t>欠品_コピペ元列</t>
  </si>
  <si>
    <t>欠品_コピペ先列</t>
  </si>
  <si>
    <t>欠品_処理開始行</t>
  </si>
  <si>
    <t>欠品_処理終了行</t>
  </si>
  <si>
    <t>在庫額_列挿入位置</t>
  </si>
  <si>
    <t>在庫額_コピペ元列</t>
  </si>
  <si>
    <t>在庫額_コピペ先列</t>
  </si>
  <si>
    <t>在庫額_処理開始行</t>
  </si>
  <si>
    <t>在庫額_処理終了行</t>
  </si>
  <si>
    <t>CSV範囲_終端列</t>
  </si>
  <si>
    <t>CSV範囲_終端行</t>
  </si>
  <si>
    <t>シートループ回数</t>
  </si>
  <si>
    <t>休日判定_実行</t>
  </si>
  <si>
    <t>ネット事前取得_実行</t>
  </si>
  <si>
    <t>OLDバックアップ_実行</t>
  </si>
  <si>
    <t>CSV空白除去_実行</t>
  </si>
  <si>
    <t>発注点補正_実行</t>
  </si>
  <si>
    <t>O列転記_実行</t>
  </si>
  <si>
    <t>追加終了プロセス_実行</t>
  </si>
  <si>
    <t>追加終了プロセス名</t>
  </si>
  <si>
    <t>CSVデータセット数</t>
  </si>
  <si>
    <t>副拠点コード</t>
  </si>
  <si>
    <t>副TIMS起動引数</t>
  </si>
  <si>
    <t>副CSVファイル名</t>
  </si>
  <si>
    <t>主CSV貼付開始セル</t>
  </si>
  <si>
    <t>副CSV貼付開始セル</t>
  </si>
  <si>
    <t>副CSV範囲_終端行</t>
  </si>
  <si>
    <t>欠品色_列挿入位置</t>
  </si>
  <si>
    <t>欠品色_コピペ元列</t>
  </si>
  <si>
    <t>欠品色_コピペ先列</t>
  </si>
  <si>
    <t>欠品色_処理開始行</t>
  </si>
  <si>
    <t>欠品色_処理終了行</t>
  </si>
  <si>
    <t>在庫額色_列挿入位置</t>
  </si>
  <si>
    <t>在庫額色_コピペ元列</t>
  </si>
  <si>
    <t>在庫額色_コピペ先列</t>
  </si>
  <si>
    <t>在庫額色_処理開始行</t>
  </si>
  <si>
    <t>在庫額色_処理終了行</t>
  </si>
  <si>
    <t>発注点リセット_実行</t>
  </si>
  <si>
    <t>発注点リセット_管理方式</t>
  </si>
  <si>
    <t>発注点リセット_設定参照先</t>
  </si>
  <si>
    <t>RPAシナリオ本体_フルパス</t>
  </si>
  <si>
    <t>処理対象シート_開始番号</t>
  </si>
  <si>
    <t>処理対象シート_終了番号</t>
  </si>
  <si>
    <t>欠品シート名</t>
  </si>
  <si>
    <t>在庫額シート名</t>
  </si>
  <si>
    <t>欠品色シート名</t>
  </si>
  <si>
    <t>在庫額色シート名</t>
  </si>
  <si>
    <t>在庫帳ブックローカルフォルダ名</t>
  </si>
  <si>
    <t>-site:"Z1901"</t>
  </si>
  <si>
    <t>札幌在庫データ.csv</t>
  </si>
  <si>
    <r>
      <rPr>
        <sz val="10"/>
        <rFont val="ＭＳ ゴシック"/>
        <family val="3"/>
      </rPr>
      <t>札幌在庫帳</t>
    </r>
    <r>
      <rPr>
        <sz val="10"/>
        <rFont val="Arial"/>
        <family val="2"/>
      </rPr>
      <t>.xlsx</t>
    </r>
  </si>
  <si>
    <t>\\192.168.0.35\disk\企画室\倉庫\前日データ\札幌在庫帳.xlsx</t>
  </si>
  <si>
    <t>X</t>
  </si>
  <si>
    <t>W</t>
  </si>
  <si>
    <t>V</t>
  </si>
  <si>
    <t>U</t>
  </si>
  <si>
    <t>D</t>
  </si>
  <si>
    <t>無</t>
  </si>
  <si>
    <t>有(統合版で新規実装要・現行札幌シナリオには無し)</t>
  </si>
  <si>
    <t>A3</t>
  </si>
  <si>
    <t>部署別テーブル参照</t>
  </si>
  <si>
    <t>発注点リセット_部署別設定シート</t>
  </si>
  <si>
    <t>欠品</t>
  </si>
  <si>
    <t>在庫額</t>
  </si>
  <si>
    <t>在庫帳</t>
  </si>
  <si>
    <t>-site:"Z3932"</t>
  </si>
  <si>
    <t>倉庫在庫データ.csv</t>
  </si>
  <si>
    <t>本社商品在庫日報.xlsx</t>
  </si>
  <si>
    <t>\\192.168.0.35\disk\企画室\倉庫\前日データ\本社商品在庫日報.xlsx</t>
  </si>
  <si>
    <t>Y</t>
  </si>
  <si>
    <t>T</t>
  </si>
  <si>
    <t>有(PowerShell方式)</t>
  </si>
  <si>
    <t>TIMS_C05_InvntInq.exe</t>
  </si>
  <si>
    <t>-site:"Z3951"</t>
  </si>
  <si>
    <t>製造在庫データ.csv</t>
  </si>
  <si>
    <t>製造在庫帳（大型）.xlsx</t>
  </si>
  <si>
    <t>\\192.168.0.35\disk\企画室\倉庫\前日データ\製造在庫帳（大型）.xlsx</t>
  </si>
  <si>
    <t>AD</t>
  </si>
  <si>
    <t>AC</t>
  </si>
  <si>
    <t>AA</t>
  </si>
  <si>
    <t>Z</t>
  </si>
  <si>
    <t>無※要確認</t>
  </si>
  <si>
    <t>-site:"Z3934"</t>
  </si>
  <si>
    <t>外注在庫データ.csv</t>
  </si>
  <si>
    <t>\\192.168.0.35\disk\企画室\倉庫\前日データ\外注鉄在庫帳.xlsx</t>
  </si>
  <si>
    <t>無※資料上確認できず</t>
  </si>
  <si>
    <t>A4000</t>
  </si>
  <si>
    <t>在庫切れ</t>
  </si>
  <si>
    <t>欠品（色）</t>
  </si>
  <si>
    <t>在庫額（色）</t>
  </si>
  <si>
    <t>-site:"Z1915"</t>
  </si>
  <si>
    <t>船舶在庫データ.csv</t>
  </si>
  <si>
    <t>船舶在庫帳.xlsx</t>
  </si>
  <si>
    <t>\\192.168.0.35\disk\企画室\倉庫\前日データ\船舶在庫帳.xlsx</t>
  </si>
  <si>
    <t>-site:"Z1903"</t>
  </si>
  <si>
    <t>仙台在庫データ.csv</t>
  </si>
  <si>
    <r>
      <rPr>
        <sz val="10"/>
        <rFont val="ＭＳ ゴシック"/>
        <family val="3"/>
      </rPr>
      <t>仙台在庫帳</t>
    </r>
    <r>
      <rPr>
        <sz val="10"/>
        <rFont val="Arial"/>
        <family val="2"/>
      </rPr>
      <t>.xlsx</t>
    </r>
  </si>
  <si>
    <t>\\192.168.0.35\disk\企画室\倉庫\前日データ\仙台在庫帳.xlsx</t>
  </si>
  <si>
    <t>有(Excel置換方式)</t>
  </si>
  <si>
    <t>-site:"Z1907"</t>
  </si>
  <si>
    <t>福岡在庫データ.csv</t>
  </si>
  <si>
    <r>
      <rPr>
        <sz val="10"/>
        <rFont val="ＭＳ ゴシック"/>
        <family val="3"/>
      </rPr>
      <t>福岡在庫帳</t>
    </r>
    <r>
      <rPr>
        <sz val="10"/>
        <rFont val="Arial"/>
        <family val="2"/>
      </rPr>
      <t>.xlsx</t>
    </r>
  </si>
  <si>
    <t>\\192.168.0.35\disk\企画室\倉庫\前日データ\福岡在庫帳.xlsx</t>
  </si>
  <si>
    <t>-site:"Z1905"</t>
  </si>
  <si>
    <r>
      <rPr>
        <sz val="10"/>
        <rFont val="ＭＳ ゴシック"/>
        <family val="3"/>
      </rPr>
      <t>東京在庫データ</t>
    </r>
    <r>
      <rPr>
        <sz val="10"/>
        <rFont val="Arial"/>
        <family val="2"/>
      </rPr>
      <t>.csv</t>
    </r>
  </si>
  <si>
    <r>
      <rPr>
        <sz val="10"/>
        <rFont val="ＭＳ ゴシック"/>
        <family val="3"/>
      </rPr>
      <t>東京在庫帳</t>
    </r>
    <r>
      <rPr>
        <sz val="10"/>
        <rFont val="Arial"/>
        <family val="2"/>
      </rPr>
      <t>.xlsx</t>
    </r>
  </si>
  <si>
    <t>\\192.168.0.35\disk\企画室\倉庫\前日データ\東京在庫帳.xlsx</t>
  </si>
  <si>
    <t>有(2026/7/3。ローカル保存のみのため実際の稼働有無は別途要確認だが、統合対象としては有効)</t>
  </si>
  <si>
    <t>成果連絡表（色物）.xlsx</t>
  </si>
  <si>
    <t>\\192.168.0.35\disk\企画室\倉庫\前日データ\成果連絡表（色物）.xlsx</t>
  </si>
  <si>
    <t>TIMS_ClientPC.exe / TIMS_C05_InvntInq.exe</t>
  </si>
  <si>
    <t>A4034</t>
  </si>
  <si>
    <t>AB</t>
  </si>
  <si>
    <t>AE</t>
  </si>
  <si>
    <t>発注点割れ</t>
  </si>
  <si>
    <t>区分</t>
  </si>
  <si>
    <t>系統</t>
  </si>
  <si>
    <t>シート名</t>
  </si>
  <si>
    <t>列削除_開始位置</t>
  </si>
  <si>
    <t>列挿入位置</t>
  </si>
  <si>
    <t>ステップ番号</t>
  </si>
  <si>
    <t>コピー範囲</t>
  </si>
  <si>
    <t>貼付先セル</t>
  </si>
  <si>
    <t>貼付形式</t>
  </si>
  <si>
    <t>備考</t>
  </si>
  <si>
    <t>列削除列挿入_要否</t>
  </si>
  <si>
    <t>標準</t>
  </si>
  <si>
    <t>値</t>
  </si>
  <si>
    <t>すべて</t>
  </si>
  <si>
    <t>末尾2行(書式ずれ対策)。2026/7/6荘田室長回答により貼付形式は「値」に統一／2026/8/5 実データ検証済み：V1.0個別シナリオ(外注鉄・仙台)と同じ「すべて」に統一。全9拠点の答えファイルで位置(処理開始行+1=目標値行)を実機照合済み</t>
  </si>
  <si>
    <t>色物</t>
  </si>
  <si>
    <t>変数名</t>
  </si>
  <si>
    <t>型</t>
  </si>
  <si>
    <t>説明</t>
  </si>
  <si>
    <t>文字列</t>
  </si>
  <si>
    <t>TIMS起動時の-siteパラメータに使う識別コード</t>
  </si>
  <si>
    <t>表示・ログ出力用の拠点名</t>
  </si>
  <si>
    <t>TIMS_ClientPC.exe起動時の引数（-site:"コード"）</t>
  </si>
  <si>
    <t>拠点コードから組立可</t>
  </si>
  <si>
    <t>TIMSからエクスポートするCSVのファイル名</t>
  </si>
  <si>
    <t>処理対象の在庫帳/日報Excelファイル名</t>
  </si>
  <si>
    <t>処理後にファイルを保存するネットワーク共有先</t>
  </si>
  <si>
    <t>欠品シート構造</t>
  </si>
  <si>
    <t>整数</t>
  </si>
  <si>
    <t>欠品シートで新規列を挿入する位置</t>
  </si>
  <si>
    <t>テンプレート由来の差異</t>
  </si>
  <si>
    <t>列記号</t>
  </si>
  <si>
    <t>コピー元の列（挿入前の最終列相当）</t>
  </si>
  <si>
    <t>貼り付け先の列（挿入で1列前にずれた列）</t>
  </si>
  <si>
    <t>欠品データの処理開始行</t>
  </si>
  <si>
    <t>将来的に動的取得へ置換候補</t>
  </si>
  <si>
    <t>欠品データの処理終了行</t>
  </si>
  <si>
    <t>在庫額シート構造</t>
  </si>
  <si>
    <t>在庫額シートで新規列を挿入する位置</t>
  </si>
  <si>
    <t>コピー元の列</t>
  </si>
  <si>
    <t>貼り付け先の列</t>
  </si>
  <si>
    <t>在庫額データの処理開始行</t>
  </si>
  <si>
    <t>在庫額データの処理終了行</t>
  </si>
  <si>
    <t>CSV/ループ</t>
  </si>
  <si>
    <t>CSVコピペ範囲の終端列</t>
  </si>
  <si>
    <t>CSVコピペ範囲の終端行（現状は固定値）</t>
  </si>
  <si>
    <t>将来的に「最初の空行」で動的化候補</t>
  </si>
  <si>
    <t>拠点別データシート(1,2,3...)を処理する回数</t>
  </si>
  <si>
    <t>将来的にシート数取得で動的化候補
2026/7/6：終了番号との不一致時の挙動仕様は「処理対象シート_終了番号」の備考を参照。</t>
  </si>
  <si>
    <t>処理フラグ</t>
  </si>
  <si>
    <t>有/無</t>
  </si>
  <si>
    <t>カレンダー参照による休日スキップ処理を行うか</t>
  </si>
  <si>
    <t>倉庫・製造・船舶は有、札幌は無</t>
  </si>
  <si>
    <t>処理前にネットワークから最新ブックをローカルへ取得するか</t>
  </si>
  <si>
    <t>処理前の旧ファイルをOLDフォルダへ退避するか</t>
  </si>
  <si>
    <t>倉庫・船舶は有、製造は要確認、札幌は無</t>
  </si>
  <si>
    <t>TIMS出力CSVの余分な半角スペースをPowerShellで除去するか</t>
  </si>
  <si>
    <t>2026/7/3 天野判断：TIMS出力CSVは全拠点で半角スペース混入が常態であり、後工程(COUNTIF等の一致判定)に支障が出るため、方式(PowerShell/Excel置換)は問わず全拠点で有効化を必須とする。札幌は現行シナリオに同処理が無く、統合版での新規実装対象。</t>
  </si>
  <si>
    <t>COUNTIFによる発注点(E列)未設定商品への自動補完を行うか</t>
  </si>
  <si>
    <t>2026/7/3 荘田室長口頭確認により全拠点共通実装に決定（発注点0かつ在庫&gt;0の場合、在庫数を発注点に書き換え）</t>
  </si>
  <si>
    <t>O列(発注点-在庫数)の値をE列へ転記する処理を行うか</t>
  </si>
  <si>
    <t>製造のみ有（倉庫・札幌・船舶は無）</t>
  </si>
  <si>
    <t>プロセス終了</t>
  </si>
  <si>
    <t>TIMS_ClientPC.exeに加えて追加のプロセスも終了するか</t>
  </si>
  <si>
    <t>追加で終了するプロセスの実行ファイル名</t>
  </si>
  <si>
    <t>TIMS_C05_InvntInq.exe 等</t>
  </si>
  <si>
    <t>複数CSVデータセット</t>
  </si>
  <si>
    <t>1回のシナリオでTIMSから取得して在庫帳へ貼り付けるCSVの本数</t>
  </si>
  <si>
    <t>表示・確認用の参考値。シナリオ本体の分岐条件は「副拠点コード」の有無を用いる。</t>
  </si>
  <si>
    <t>2本目のCSVを取得するTIMS拠点コード</t>
  </si>
  <si>
    <t>2026/7/3決定：統合シナリオはこの値が空欄かどうかで2本目のCSV取得要否を判定する(空欄なら取得しない)。実質的な制御フラグはこの列。</t>
  </si>
  <si>
    <t>2本目のCSV取得時にTIMS_ClientPC.exeへ渡す引数</t>
  </si>
  <si>
    <t>-site:"副拠点コード"</t>
  </si>
  <si>
    <t>2本目にTIMSからエクスポートするCSVファイル名</t>
  </si>
  <si>
    <t>外注鉄では倉庫在庫データ.csv</t>
  </si>
  <si>
    <t>セル番地</t>
  </si>
  <si>
    <t>主CSVをバーコード貼付シートへ貼り付ける開始セル</t>
  </si>
  <si>
    <t>通常はA3、外注鉄はA4000</t>
  </si>
  <si>
    <t>副CSVをバーコード貼付シートへ貼り付ける開始セル</t>
  </si>
  <si>
    <t>外注鉄はA3</t>
  </si>
  <si>
    <t>副CSVのコピー範囲終端行</t>
  </si>
  <si>
    <t>外注鉄では3953</t>
  </si>
  <si>
    <t>欠品（色）シート構造</t>
  </si>
  <si>
    <t>欠品（色）シートで新規列を挿入する位置</t>
  </si>
  <si>
    <t>外注鉄シナリオで確認</t>
  </si>
  <si>
    <t>欠品（色）シートのコピー元列</t>
  </si>
  <si>
    <t>外注鉄ではAA</t>
  </si>
  <si>
    <t>欠品（色）シートの貼り付け先列</t>
  </si>
  <si>
    <t>外注鉄ではZ</t>
  </si>
  <si>
    <t>欠品（色）シートの処理開始行</t>
  </si>
  <si>
    <t>外注鉄では41</t>
  </si>
  <si>
    <t>欠品（色）シートの処理終了行</t>
  </si>
  <si>
    <t>外注鉄では63</t>
  </si>
  <si>
    <t>在庫額（色）シート構造</t>
  </si>
  <si>
    <t>在庫額（色）シートで新規列を挿入する位置</t>
  </si>
  <si>
    <t>在庫額（色）シートのコピー元列</t>
  </si>
  <si>
    <t>外注鉄ではW</t>
  </si>
  <si>
    <t>在庫額（色）シートの貼り付け先列</t>
  </si>
  <si>
    <t>外注鉄ではV</t>
  </si>
  <si>
    <t>在庫額（色）シートの処理開始行</t>
  </si>
  <si>
    <t>在庫額（色）シートの処理終了行</t>
  </si>
  <si>
    <t>発注点0リセット機能</t>
  </si>
  <si>
    <t>在庫0が一定期間継続した場合に発注点(E列)を0にリセットする機能を実行するか</t>
  </si>
  <si>
    <t>2026/7/3 荘田室長口頭確認により実装方針決定。全拠点で有</t>
  </si>
  <si>
    <t>リセット基準日数の管理方式（固定文字列：部署別テーブル参照）</t>
  </si>
  <si>
    <t>サイト単位ではなく部署(シート)単位で管理するため、詳細は別シート参照</t>
  </si>
  <si>
    <t>詳細設定を保持するシート名</t>
  </si>
  <si>
    <t>「発注点リセット_部署別設定」シートを参照</t>
  </si>
  <si>
    <t>統合シナリオがこの拠点を処理対象に含めるか。無の場合はこの拠点をスキップする。</t>
  </si>
  <si>
    <t>2026/7/3新設。東京は実ファイル未更新(半年以上CSV更新なし)が確認されたため暫定的に「無」。荘田さん確認後に有効化できるようパラメータ化。</t>
  </si>
  <si>
    <t>この拠点の(統合前)個別RPAシナリオファイル自体の保存先フルパス</t>
  </si>
  <si>
    <t>2026/7/3新設。現時点では未収集(各拠点PDFにはシナリオ本体のファイルパスまでは記載が無かったため空欄)。実担当・KEYENCE RK-10管理画面等で確認要。</t>
  </si>
  <si>
    <t>部署シートのループ処理を開始する番号(通常は1)</t>
  </si>
  <si>
    <t>2026/7/3新設。従来の「シートループ回数」(常に1から数える前提)を、開始・終了を明示的に指定できる形に拡張。</t>
  </si>
  <si>
    <t>部署シートのループ処理を終了する番号</t>
  </si>
  <si>
    <t>2026/7/3新設。東京はこれまでの16→19に是正(荘田さん確認済み)。仙台は19枚目が異常データのため18のまま暫定。
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t>
  </si>
  <si>
    <t>この行(拠点)を今回の実行対象に含めるかどうか。テスト時の対象絞り込みや、未来日付でまだ使わない設定・削除はしないが今は使わない設定の一時保管にも使う。</t>
  </si>
  <si>
    <t>2026/7/6 新設(先頭列)。「拠点ループ対象」列は役割が重複するため廃止しこちらに一本化。</t>
  </si>
  <si>
    <t>処理有無を「無」にしている理由の記録用。テスト除外／未来日付でまだ使わない設定／削除せず保留中の設定、のどれに該当するか等を記載。「有」の行は空欄でよい。</t>
  </si>
  <si>
    <t>2026/7/6 新設。処理有無だけだと半年後などに理由が分からなくなるため追加。</t>
  </si>
  <si>
    <t>シート名管理</t>
  </si>
  <si>
    <t>欠品系データを書き込むシートの実際の名称</t>
  </si>
  <si>
    <t>2026/7/7新設。外注鉄のみ「在庫切れ」、他は「欠品」</t>
  </si>
  <si>
    <t>在庫額系データを書き込むシートの実際の名称</t>
  </si>
  <si>
    <t>2026/7/7新設。他は「在庫額」だが、拠点によって異なりうるため列化</t>
  </si>
  <si>
    <t>欠品色系データを書き込むシートの実際の名称</t>
  </si>
  <si>
    <t>2026/7/7新設。外注鉄は「欠品(色)」、成果連絡表(色物)はこの列に自身の主データ用シート名「欠品」を格納（欠品色_*列を色物本体データの格納先として流用しているため）</t>
  </si>
  <si>
    <t>在庫額色系データを書き込むシートの実際の名称</t>
  </si>
  <si>
    <t>2026/7/7新設。外注鉄は「在庫額(色)」、成果連絡表(色物)は「発注点割れ」</t>
  </si>
  <si>
    <t>ステータス</t>
  </si>
  <si>
    <t>対象拠点</t>
  </si>
  <si>
    <t>項目</t>
  </si>
  <si>
    <t>内容</t>
  </si>
  <si>
    <t>決定済み(実装方針決定)</t>
  </si>
  <si>
    <t>製造</t>
  </si>
  <si>
    <t>資料上、倉庫にはOLDフォルダ退避処理の記載があるが、製造の資料には同処理が確認できなかった。未実装か、確認漏れか。
【2026/7/6 シナリオPDF確認】製造在庫チェック-V1.0のPDFを確認。ファイルコピー(17行目)の直後はメモ「念のために起動しているTIMSを止める」(18行目)に進んでおり、倉庫・船舶にある「処理前(前日)分をOLDフォルダーにバックアップする」ブロック(V1)が存在しない。製造にはOLDバックアップ機能は未実装であることを確認(確認漏れではなく実装差)。統合版では製造のOLDバックアップ_実行フラグを「無」で確定。
【2026/7/6 天野決定】製造のOLDバックアップ機能は統合版で新規実装する（当初の「無」判定から方針変更）。残し方は、ファイル名末尾に「-YYYYMMDD」（処理実行日）を付与し、指定した保存フォルダに保存する方式に決定。</t>
  </si>
  <si>
    <t>CSVコピペ貼付先</t>
  </si>
  <si>
    <t>製造版のCSV→バーコード貼付コピペで、貼付先が単一セルではなく範囲(A3:C1400)表記になっている。他拠点は単一セルA3。仕様差か記載の揺れか要確認。
【2026/7/6 シナリオPDF確認】製造在庫チェック-V1.0のPDF(93行目)を確認したが、画像の解像度上「単一セル A3」なのか「A3:C1400」の範囲指定なのか判別しきれず。他拠点(東京・福岡・倉庫・船舶)はいずれも単一セル(A3等)への「すべて」貼付で統一されている。実機で製造シナリオのこのステップを開いて設定内容を直接確認するのが確実。
【2026/7/6 製造在庫チェック-V1.0 PDF実物確認により確定】
欠品シート：本体範囲 AD37:AD47 → AC37（貼付形式：値）／末尾2行 AD38:AD39 → AC38（貼付形式：すべて）
在庫額シート：本体範囲 AA37:AA48 → Z37（貼付形式：値）／末尾2行 AA38:AA39 → Z38（貼付形式：すべて）
引継ぎメモの「本体範囲を値貼付＋末尾2行をすべて貼付」という2段階構造どおりであることを確認。単一セルではなく上記の通り単一セル貼付＋開始行37で他拠点と整合。</t>
  </si>
  <si>
    <t>倉庫/札幌</t>
  </si>
  <si>
    <t>商品別シートの列構成(D/E/O等)</t>
  </si>
  <si>
    <t>発注点補正・O列転記の列構成は製造の実ファイルでのみ実データ確認済み。倉庫・札幌の商品別シート(1,2,3…)が同じ列構成か未確認。</t>
  </si>
  <si>
    <t>決定済み(パターン確認)</t>
  </si>
  <si>
    <t>全拠点</t>
  </si>
  <si>
    <t>欠品/在庫額_処理開始行・終了行</t>
  </si>
  <si>
    <t>現状は固定値。将来的に「最初の空行取得」等で動的化するか、固定値のまま設定表で管理するかの方針を確定させる必要がある。
【2026/7/6 シナリオPDF確認】6拠点分(成果連絡表・東京・福岡・船舶・倉庫・製造)のPDFを比較した結果、欠品/在庫額シートのコピペは全拠点で「本体範囲を値貼付」＋「末尾2行分をすべて貼付」という同一の2段階構造であることを確認。開始行のみ拠点ごとに異なる(東京27/福岡29/倉庫37/船舶24/製造37)。構造が共通なので、開始行・終了行を拠点別変数として管理する現行方針(拠点別設定値シート)のまま統合してよいと判断。</t>
  </si>
  <si>
    <t>発注点補正・O列転記の要否</t>
  </si>
  <si>
    <t>荘田室長への確認事項（別紙：報告確認書面）の回答を得て、フラグのデフォルト値を最終確定する。
【決定】2026/7/3 荘田室長より口頭確認：発注点0かつ在庫&gt;0の場合、在庫数を発注点に書き換えるロジックは全拠点共通でよい。統合版は共通実装する。
【2026/7/15 荘田室長より書面(メール)で再確認・業務的背景を確認】発注点を割ったまま3ヶ月以上放置された品目は「在庫する意思がないもの」とみなし発注点を0に設定して管理対象から外す運用。その後まれに遅れて入庫するものがあり、これは「在庫する意思が残っていた」ものとして復活処置（入荷数＝発注点に書き換え）を行い、在庫管理サイクルに再度乗せる。7/3の口頭確認と同一結論であることを書面で再確認。
【2026/7/15 天野判断】発注点補正は9拠点共通の1本のロジック（行ループ内条件分岐、拠点別IF分岐なし）で実装するため、拠点ごとの実装有無という前提自体が旧・個別シナリオ時代のものであり汎用版には適用されない。拠点別設定値シートの発注点補正_実行列は全拠点「有」に統一し、仙台・福岡・東京・成果連絡表(色物)に付いていた「(要現物確認)」の注記は削除。個別拠点ごとの現物確認は不要と判断。</t>
  </si>
  <si>
    <t>主・副CSVの位置づけ</t>
  </si>
  <si>
    <t>シナリオではZ3934の外注在庫データをA4000へ、Z3932の倉庫在庫データをA3へ貼り付けている。統合版でも外注鉄を主拠点として扱い、倉庫データを副データセットとして取り込む設計でよいか。</t>
  </si>
  <si>
    <t>外注鉄PDFでは倉庫・製造で確認されたCOUNTIFによる発注点補正処理が明示されていない。未実装で正しいか、無効ブロック内に存在するか実物で要確認。
【決定】2026/7/3 荘田室長より口頭確認：発注点0かつ在庫&gt;0の場合、在庫数を発注点に書き換えるロジックは全拠点共通でよい。統合版は共通実装する。
【2026/7/15 天野判断】発注点補正は全拠点共通の1本のロジックに統合されたため、外注鉄個別の実装有無確認は不要と判断（行6の全体決定を参照）。</t>
  </si>
  <si>
    <t>外注鉄PDFではO列→E列転記処理を確認できない。外注鉄では不要という仕様か要確認。
【2026/7/6 荘田室長へメール確認中】塚田の想定回答：問題なし(外注鉄のO列差分はどのシートに書き加えても問題なく、各拠点共通処理化してよい)。正式回答が来るまでは暫定反映とし、拠点別設定値シートのO列転記_実行フラグを暫定「有」にする。
【2026/7/6 荘田室長 正式回答（想定通り）】問題なし、各拠点共通処理でよい。あわせて業務的な意味も判明：規定日数(多くは90日)を過ぎても在庫が動かない＝担当者に補充の意思がないとみなし、その差分値(O列)を発注点(E列)へ書き換えることで、結果的に発注点を引き下げる効果を持たせている。これは②の発注点リセット基準日数(部署別・シート単位の90日/365日等)と同じ「規定日数」概念を使っている可能性が高く、発注点0リセット機能とO列転記が同系統の仕組みである可能性がある。統合実装時に両者の関係を要整理。</t>
  </si>
  <si>
    <t>一部確認済み</t>
  </si>
  <si>
    <t>CSV終端行</t>
  </si>
  <si>
    <t>PDF記載では倉庫CSVがA1:D3953、外注CSVがA1:D365。件数が固定上限か、その時点の実データ件数かを確認し、動的最終行取得へ変更するか判断する。
【一部確認済み】2026/7/3 実物PDF再確認により、外注CSVの終端行は365ではなく2365が正(変数表を修正済み)。固定上限か都度の実データ件数かは引き続き未確認。</t>
  </si>
  <si>
    <t>色シートの共通化</t>
  </si>
  <si>
    <t>欠品（色）・在庫額（色）が外注鉄固有なのか、他拠点にも存在するが未処理なのかを確認する。</t>
  </si>
  <si>
    <t>無効ブロックの内容</t>
  </si>
  <si>
    <t>PDFでは行番号が108から151、160から189へ飛んでおり無効ブロックが折りたたまれている。休日判定・バックアップ・補正処理等が含まれていないか実シナリオで確認する。</t>
  </si>
  <si>
    <t>船舶</t>
  </si>
  <si>
    <t>発注点補正_実行 / O列転記_実行</t>
  </si>
  <si>
    <t>船舶版シナリオには倉庫・製造で確認されたCOUNTIFによる発注点補正処理、およびO列転記処理が見当たらない。有無の分かれ方が拠点の新旧では説明できないため、各拠点で本当に不要なのか、実装が漏れているだけなのかを個別に確認する必要がある。
【決定】発注点補正は全拠点共通実装に決定(2026/7/3)。O列転記の要否は引き続き未確認。
【2026/7/15 天野判断】発注点補正は全拠点共通の1本のロジックに統合されたため、船舶個別の実装有無確認は不要と判断（行6の全体決定を参照）。O列転記の要否は引き続き別件として未確認のまま。</t>
  </si>
  <si>
    <t>在庫0継続による発注点リセット（3か月/1年）</t>
  </si>
  <si>
    <t>船舶在庫帳の実データを確認したところ、商品別シートのF1セル（基準日）が部署により「=TODAY()-90」(3か月)と「=TODAY()-365」(1年)で使い分けられており、荘田室長の説明と一致する。ただし、この基準日を参照して発注点(E列)を実際に0へリセットする処理は、船舶シナリオ内には見当たらない。製造でも同種の処理は無効ブロックとして存在するのみ。意図はあるが自動化としては未実装の可能性が高く、室長に「現状リセットは動いていない可能性がある」旨を確認する必要がある。</t>
  </si>
  <si>
    <t>Y23への数式書き込み</t>
  </si>
  <si>
    <t>欠品シート処理の中でY23セルに「=COLUMN()」という数式を書き込むステップがあるが、他拠点のシナリオには同様の処理が見当たらない。用途不明のため、船舶固有の必要処理か、デバッグ等で残った不要ステップかを実物で確認する。
【2026/7/6 シナリオPDF確認】船舶在庫チェックのPDF(56行目)で、Y23セルに文字列"=COLUMN()"を書き込んでいることを確認(値としては25になるはず)。他のセルからY23を参照している形跡はPDF内には見当たらず、用途は依然として不明。</t>
  </si>
  <si>
    <t>決定済み(PDF確認により解決)</t>
  </si>
  <si>
    <t>ウィンドウ認識のUI要素差</t>
  </si>
  <si>
    <t>TIMS起動後のウィンドウタイトルに「(船舶機械部)」という拠点名が含まれ、UI要素認識・Alt+Qキー操作等のフォールバック構成が他拠点と異なる。統合シナリオではUI要素の待受け条件を拠点非依存にできるか確認が必要。
【2026/7/6 シナリオPDF確認】船舶のウィンドウ認識で使われるアプリのタイトルバーが「在庫管理システム(船舶機械部)」であることを画像から確認。他拠点は「在庫管理システム」等シンプルな表記と推測され、船舶だけ拠点名がタイトルに含まれる可能性が高い。UI要素の認識はタイトル文字列に依存するため、統合版では船舶用に個別のUI要素を用意する必要がある(技術的には対応可能な差異)。</t>
  </si>
  <si>
    <t>確認済み</t>
  </si>
  <si>
    <t>発注点リセット_部署別設定の実データ整備</t>
  </si>
  <si>
    <t>リセット日数(3か月/12か月等)を部署(シート)単位で一元管理する方針(2026/7/3決定)。現状、実データで確認できているのは製造(全9部署90日)・船舶(25部署中3部署365日、他90日)のみ。札幌・倉庫・外注鉄は未確認のため、各拠点の実ファイルを確認し「発注点リセット_部署別設定」シートに実値を展開する必要がある。
【確認済み】2026/7/3、札幌(19部署)・倉庫(20部署)・外注鉄(27部署)の実ファイルを確認し全て反映。全拠点とも基本90日(3か月)で、365日(1年)は船舶の一部部署のみ。</t>
  </si>
  <si>
    <t>F1書き込み方式の実装設計</t>
  </si>
  <si>
    <t>統合シナリオが「発注点リセット_部署別設定」の値をもとに、各シートのF1セルへ数式(例：=TODAY()-90)を書き込む処理を実装する。数式を書き込むか、計算済みの日付値を書き込むかは実装時に確定する。</t>
  </si>
  <si>
    <t>リセット日数の異常値(シート5)</t>
  </si>
  <si>
    <t>外注鉄のシート5(部署)のみ、基準日数式が"=TODAY()-50"となっており、他シートの90日/365日のいずれとも異なる。誤入力か、この部署固有の意図的な設定かを実物担当者に確認する。
【2026/7/6 天野決定】「なぜ50日なのか」の理由確認は不要とする。基準日数はシート単位で個別に管理する方式（②発注点リセット基準日数の方針と同じ）のため、シート5のみ50日のまま実装する（他シートは90日/365日等、既存の設定値をそのまま使用）。</t>
  </si>
  <si>
    <t>倉庫</t>
  </si>
  <si>
    <t>発注点差分の列位置(O列でなくN列)</t>
  </si>
  <si>
    <t>倉庫の商品別シートのみ、発注点と在庫数の差分(他拠点はO列)が"発点差"としてN列に入っている。将来O列転記等の機能を倉庫に適用する場合、参照列をN列に読み替える必要がある。</t>
  </si>
  <si>
    <t>ローカル作業ファイルのフォルダ不一致</t>
  </si>
  <si>
    <t>外注鉄在庫帳.xlsxのローカルコピーが、処理の前半では{UserDeskTopPath}\在庫帳\、後半(シート番号ループ以降)では{UserDeskTopPath}\TIMS\と異なるフォルダを参照している。中間の無効ブロック(108〜150行)でフォルダ間コピーが行われているか、実シナリオで確認する必要がある。</t>
  </si>
  <si>
    <t>プロセス終了ステップの設定</t>
  </si>
  <si>
    <t>189行目の「アプリケーション(プロセス)を終了」で、プロセス名欄にExcelファイルのフルパスが指定されている。通常はexeファイル名を指定する項目のため、設定ミスの可能性がある。実シナリオで実際の値を確認する。</t>
  </si>
  <si>
    <t>外注鉄／荘田室長</t>
  </si>
  <si>
    <t>複数CSV(主/副)構成の業務的必要性</t>
  </si>
  <si>
    <t>外注鉄はTIMSを自拠点(Z3934)と倉庫(Z3932)の2サイトコードで起動し、両方のCSVを同一バーコード貼付シートに統合している。荘田室長に以下2点を確認する。①外注鉄の在庫の一部が倉庫のTIMS管理下にも計上されているため、という理解で合っているか。②この「自拠点+倉庫」という組み合わせは外注鉄固有の事情か、外注課の他カテゴリ(色物等)や今後増える可能性のある拠点にも共通して起こりうる構図か。②がYesの場合、統合シナリオの設計自体は変更不要(既に副拠点コードを複数保持できる構造にしてある)で、該当拠点の行に値を追加するだけで対応可能。</t>
  </si>
  <si>
    <t>シートループ回数と実シート数の不一致</t>
  </si>
  <si>
    <t>仙台在庫帳.xlsxには部署シートが1〜19の19枚存在するが、シナリオの繰り返し回数指定は18回。19枚目はコード・品名・在庫数等がすべて#N/A/空欄で実質未使用データに見える。意図的な除外か、シナリオ側の設定漏れ(本来19回であるべき)かを実担当・荘田さんに確認する。
【2026/7/6 荘田室長へメール確認中】塚田の想定回答：東京と同じ「1から始まり、ループ回数は拠点ごとの変数で可変にする」という設計方針で統一してよい、とのこと。これは既に処理対象シート_開始番号/終了番号で実装済みの方式であり、仙台は19枚目が異常データのため終了番号=18のまま据え置く(東京のように実在部署が漏れているわけではない)。正式回答待ちだが、設計変更は不要と判断し暫定確定。
【2026/7/6 決定】2026/7/6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仙台はこのルールにより「19枚目は対象外としてスキップ」という現行設定(終了番号18)のままでよいことが確定した。
【2026/7/6 荘田室長 正式回答（想定通り）】OK。対象コードが無くなったシートを空回りさせるのは時間の無駄なので、ループ回数を可変にして対象外にする設計でよい。</t>
  </si>
  <si>
    <t>欠品継続時のE列(発注点)自動加算ロジック</t>
  </si>
  <si>
    <t>仙台のシナリオには、I列(欠品フラグ)=1かつH列(欠品検知日)が空欄のとき、E列(発注点)の値を+1して書き戻す処理がある(実データでも該当行を複数確認)。F/H列への日付書き込み自体は無効ブロックで停止済み。これは3.4節で決定した「発注点0リセット機能」(部署単位・F1基準日)とは別軸の、欠品が続くほど発注点を機械的に底上げする既存ロジックに見える。統合版に残すべき仕様か、廃止すべき旧ロジックかを荘田さんに確認する。</t>
  </si>
  <si>
    <t>発注点補正(COUNTIF)実装の有無</t>
  </si>
  <si>
    <t>PDF抜粋の範囲内では、倉庫・製造で確認されているCOUNTIFによる発注点自動補完処理が明示的に見当たらない。全拠点共通実装の方針(2026/7/3決定)は確定済みだが、仙台の現行シナリオに実装済みかどうかは無効ブロック内も含め実物で要確認。
【2026/7/6 シナリオPDF確認】倉庫(184行目)・製造(148行目)のPDFで、COUNTIF(E1:E500,"=0")による発注点0商品へのD列値の自動補完処理を実装確認(有効な処理として存在)。一方、東京・福岡・船舶のPDF(アップロード範囲内)には同様のCOUNTIF処理が見当たらなかった。仙台についても同様に「実装されていない可能性」を念頭に、実機で無効ブロック内も含めて確認する必要がある。少なくとも発注点補正の実装状況は拠点によって既にバラつきがあることが判明したため、統合版では拠点別設定値シートの発注点補正_実行フラグを拠点ごとに個別確認・設定する方針を維持する。</t>
  </si>
  <si>
    <t>欠品シートG列の値</t>
  </si>
  <si>
    <t>欠品シートのG列は、ヘッダー(2行目)にも各行にも固定的でない数値(拠点や商品によって異なる値)が入っており、用途不明。他拠点のO列/N列のような明確な役割が読み取れないため、実データで用途を確認する。</t>
  </si>
  <si>
    <t>決定済み(要横展開)</t>
  </si>
  <si>
    <t>仙台/福岡/東京</t>
  </si>
  <si>
    <t>CSV空白除去の実装方式差</t>
  </si>
  <si>
    <t>倉庫・製造・船舶はPowerShellで半角スペース除去しているが、仙台・福岡・東京の3拠点はCSVをExcelで開いた直後にAlt→H→F→D→R(検索と選択→置換)のキー操作を行っており、Excelの検索置換機能で同等の処理をしている可能性が高い。統合版では「CSV空白除去_実行」フラグの実装方式(PowerShell版/Excel置換版)を拠点によって分岐させる必要がある。前回仙台を「無」としていたが「有(Excel置換方式)」に訂正した。</t>
  </si>
  <si>
    <t>一部確認済み(状況証拠あり)</t>
  </si>
  <si>
    <t>CSV出力ステップが無効ブロック内にある</t>
  </si>
  <si>
    <t>東京在庫チェックPDFの3〜6行目(在庫問合せ→検索(F3)→CSV出力(O))が「無効ブロック」の中に配置されているように見える。もし実際に無効化されているなら、そもそもCSVが新規出力されず、既存の東京在庫データ.csvを使い回している可能性がある。実シナリオで有効/無効を確認する必要がある。
【状況証拠】2026/7/3、共有フォルダ確認により東京在庫データ.csvが2025/12/17から更新されていないことが判明(35行目参照)。CSV出力ステップが無効化されている可能性と整合する。</t>
  </si>
  <si>
    <t>決定済み(対応方針確定・追加確認不要)</t>
  </si>
  <si>
    <t>CSV保存パスの入力方式の違い</t>
  </si>
  <si>
    <t>他拠点はCSV出力後の保存ダイアログでファイル名のみ(例:「福岡在庫データ」)を入力しているが、東京はフルパス(C:\Users\ts226010\Desktop\在庫帳\東京在庫データ)を入力している。機能的な違いは無いと思われるが、テンプレートの世代差の可能性があり一応記録。
【2026/7/6 シナリオPDF確認】東京在庫チェックのPDFを確認したところ、他拠点(船舶・倉庫・製造・成果連絡表)が{UserDeskTopPath}変数(PowerShellでGetFolderPath('Desktop')を都度取得)を使っているのに対し、東京は全ステップでC:\Users\ts226010\Desktop\...という特定ユーザーのデスクトップパスを直接ハードコードしていることが判明。福岡はパス指定なしでファイル名のみ入力という、また別の独自方式。東京のシナリオはユーザーアカウント「ts226010」が存在する特定PC上でしか正しく動作しない可能性が高く、単なる書式の違いではなく実際の稼働可否に直結する重大な発見。サマリーシートの「東京の稼働実態確認」の優先度を上げるべき。
【2026/7/6 天野決定】荘田室長への確認は不要と判断。他拠点と同様に{UserDeskTopPath}変数（PowerShellのGetFolderPath('Desktop')でユーザー毎のデスクトップパスを都度取得）に統一することで、特定ユーザー(ts226010)固有のハードコードパス問題は解消できる。運用上はデスクトップ配下に必要フォルダを配置することで吸収する方針とし、稼働可否の懸念事項からは切り離す。本件は記録のみで確認事項としては終了。</t>
  </si>
  <si>
    <t>確認済み(仕様通り・将来対応予定)</t>
  </si>
  <si>
    <t>保存先ネットワークパスの欠落</t>
  </si>
  <si>
    <t>他拠点は処理完了後にローカル(Desktop)とネットワーク(\\192.168.0.35\...)の2箇所へ保存しているが、東京のPDF抜粋(97〜98行目)では2回ともローカルの同一パスへの保存に見え、ネットワーク保存が無い可能性がある。意図的(東京は元々ネットワーク共有していない等)か記載漏れかを確認する。
【2026/7/3 荘田さん回答】東京は現状ローカル保存が仕様通り(意図的)。近いうちに他拠点同様ネットワーク保存にも揃えたいとの意向。</t>
  </si>
  <si>
    <t>発注点リセット基準日数(部署別)が未確認</t>
  </si>
  <si>
    <t>福岡(19部署)は実ファイル未入手のため「発注点リセット_部署別設定」シートに未反映。東京は実ファイルで90日(全19部署)確認済み。福岡の実ファイル入手後に確認・追記が必要。</t>
  </si>
  <si>
    <t>CSV空白除去_実行の要否</t>
  </si>
  <si>
    <t>2026/7/3 天野判断：TIMSから落ちてくるCSVには全拠点で半角スペースが混入するため、除去処理を省くと後工程(COUNTIFによる発注点補正等の一致判定)で不具合が出る。方式は拠点により異なってよい(倉庫/製造/外注鉄/船舶=PowerShell方式、仙台/福岡/東京=Excel置換方式)が、全拠点で必ず実行する処理として統合版に組み込む。札幌は現行シナリオに同処理が存在しないため、統合版での新規実装対象。</t>
  </si>
  <si>
    <t>確認済み(業務仕様として整理・パラメータ化希望あり)</t>
  </si>
  <si>
    <t>シートループ回数と実部署数の不一致(3部署が処理対象外の疑い)</t>
  </si>
  <si>
    <t>東京在庫帳.xlsxには部署シートが1〜19の19枚あり、17・18・19番目も商品コード等が正常に入った実在部署だが、シナリオのループ回数は16回のみ。仙台の19枚目(データ異常で実質未使用)とは異なり、東京は3部署分が丸ごと発注点判定の対象から漏れている可能性が高い。誤って見落とされているだけなら業務影響が大きいため、最優先で実担当・荘田さんに確認する。
【2026/7/3 荘田さん回答】確かにシート数通りになっていないとのこと。今後はシート枚数(処理対象部署数)自体もパラメータとして管理してほしいとの要望あり。
【2026/7/6 塚田訂正】これはプログラム上のバグではなく、拠点の部署数増加にシナリオ側のループ回数設定が追随できていなかった「業務的な未整備状態」と整理する。統合版では処理対象シート_終了番号のパラメータ化により、今後は拠点の部署数変動に追従できる。</t>
  </si>
  <si>
    <t>再評価(停止の根拠は後退・要再確認)</t>
  </si>
  <si>
    <t>実ファイルの更新停滞</t>
  </si>
  <si>
    <t>2026/7/3、企画室共有フォルダ(\\192.168.0.35\disk\企画室\倉庫)のエクスプローラ画面で全ファイルの更新日時を比較。福岡・外注鉄・仙台・成果連絡表(色物)・製造(大型)・船舶・本社商品在庫日報・札幌の各在庫帳は本日(7/3)中に更新されているのに対し、東京在庫帳.xlsxのみ2026/6/11 8:35で止まっている。さらに東京在庫データ.csvは2025/12/17 10:56から半年以上更新されておらず、CSVそのものが再出力された形跡がない。29行目(CSV出力ステップが無効ブロック内にある疑い)と整合する結果であり、東京拠点のRPAシナリオは現状ほぼ確実に稼働していない。荘田さんに「東京は運用停止中/対象外なのか、動かすべきなのに動いていないのか」を確認する必要がある。
【2026/7/3 再評価】荘田さん回答により、東京がローカル保存のみである(ネットワーク共有フォルダを更新しない)仕様であることが判明。これにより、共有フォルダ上の日付が古いことを根拠とした「稼働停止濃厚」の判断は再検討が必要。CSVがネットワーク上で半年更新されていない件も同じ理由(そもそも同期されない)で説明がつき、稼働状況の直接的な証拠にはならない。実際に稼働しているかは、東京側のローカルPCを確認しない限り確定できない。稼働フラグは暫定で「有」に戻すが、直接確認が取れるまでは要注意。</t>
  </si>
  <si>
    <t>欠品継続時のE列加算ロジック</t>
  </si>
  <si>
    <t>仙台で確認したものと同一の仕組み(I列=1かつH列空欄のときE列(発注点)を+1して書き戻す)が東京の実ファイルにも存在。該当行は18件(仙台は3件)。統合版での扱いは仙台分と合わせて一括で荘田さんに確認する。</t>
  </si>
  <si>
    <t>稼働フラグのパラメータ化</t>
  </si>
  <si>
    <t>2026/7/3 天野判断：東京が実質稼働停止していることが判明したが、荘田さん確認後にすぐ再稼働できるよう、拠点別設定値シートに「稼働フラグ(有/無)」列を新設した。統合シナリオはこのフラグが「無」の拠点をスキップする設計とする。現時点で東京のみ「無」。あわせて「RPAシナリオ本体_フルパス」列も新設したが、実データは各拠点PDFには記載が無く未収集のため空欄(要収集)。</t>
  </si>
  <si>
    <t>確認済み(統合は見送り・別シナリオ継続)</t>
  </si>
  <si>
    <t>外注鉄と同系統の色物分析としてパラメータ化</t>
  </si>
  <si>
    <t>2026/7/3 天野判断：荘田さんへの正式回答はまだだが、外注鉄が内部に持つ欠品(色)/在庫額(色)処理(列挿入26/22,コピペAA→Z・W→V,処理行41-63)と、成果連絡表(色物)が行っている集計(列挿入28/30,コピペAC→AB・AE→AD,処理行41-61)は同系統・近い濃度の色物分析と判断し、拠点別設定値シートに外注鉄と同じ列構造(35〜44列)を使って仮登録した。行番号・列位置が微妙に異なる点(41-63 vs 41-61等)は正式回答後に要再確認。稼働フラグは「有」(共有フォルダで本日更新を確認済みのため)。荘田さんの回答次第でこの行の扱い(独立シナリオとして残す/外注鉄に統合する等)を確定させる。
【2026/7/3 追記・二重処理の疑い】外注鉄在庫チェックと成果連絡表チェックは、いずれもTIMSをZ3934(外注鉄)+Z3932(倉庫)の同じ2サイトコードで起動し、似た列演算(2列ずらしコピー、開始行41)で色物を集計している。同じ元データに対して同じ濃度の分析を別々のRPAが独立に(TIMS起動から)二重に行っている可能性が高い。処理終了行が外注鉄=63、成果連絡表=61で食い違う点は対象範囲の相違か単なる版差か要確認。荘田さんには位置づけの確認だけでなく「二重処理なら片方の出力から生成する形に統合できないか」まで踏み込んで聞きたい。
【2026/7/3 実ファイル比較で判明】両ファイルの色物系シート(成果連絡表「欠品」「発注点割れ」 / 外注鉄「欠品（色）」「在庫額（色）」)は「41行目=日付,42行目=目標,43行目=合計,44行目以降=カテゴリ別内訳」という全く同じグラフ設計パターンを使っている。ただし目標値が違う(成果連絡表=6.5、外注鉄(色)=5)、カテゴリの粒度が違う(成果連絡表はバルブ/ポンプ等の一般名称、外注鉄(色)は「18 ショット場部品」等の番号付き分類コード)、集計開始日もずれている。単純な二重処理というより、「外注課内部向けの細かい分類」と「成果報告向けの粗い分類」という別粒度の並行集計の可能性が高い。グラフはどちらのファイルにも存在し、外注鉄側は「外注課（色）の部品在庫切れ/在庫額」と明確なタイトルだが、成果連絡表側は「自社商品の在庫切れ/発注点割れ」という色物ファイルにしては不自然なタイトルが残っており、過去のテンプレート流用時の消し忘れの可能性がある。荘田さんへの質問は「二重処理の無駄では」ではなく「成果連絡表の粗いカテゴリは外注鉄側の細かい分類コードを集約したものか、別基準か」に修正して確認したい。
【2026/7/3 荘田さん回答】同じ系統の分析で間違いない。外注鉄の番号シート(1〜27)は、1〜5番目あたりまでが鉄物、それ以降が色物(真鍮等)の構成になっている。人間の目で見るとグラフの見え方は異なる。ただし資料の統合は現状技術的に難しいため、今後もシナリオは別のまま運用する方針。→ 統合シナリオへの吸収は見送り、現状の2シナリオ体制を維持することで確定。</t>
  </si>
  <si>
    <t>拠点別設定値へ統合・8拠点ループに含める</t>
  </si>
  <si>
    <t>2026/7/3 天野判断：荘田さん回答により統合は見送りと確定したため、「拠点別設定値」シートの拠点ループからは外し、新設した「個別管理シナリオ(拠点ループ対象外)」シートに移動した。項目自体は変数として保持し、将来統合の可能性が出た場合にも参照できるようにしてある。
【2026/7/6 天野再判断】シナリオループの実行対象かどうかと、シートを分けるかどうかは別問題と整理。TIMS CSV取得＋発注点補正等の処理内容自体は他拠点と同じ枠組みで扱えるため、人間が見て分かりやすい汎用シナリオにするには1つの表にまとめる方が良いと判断し直した。「個別管理シナリオ(拠点ループ対象外)」シートは廃止し、拠点別設定値シートの9行目(拠点コード=外注課色物)へ統合。ループ対象かどうかは新設の「拠点ループ対象」列(有/無)で判定する方式に変更。
【2026/7/6 天野訂正】「統合は見送り」は別シナリオの話との勘違いであることが判明。成果連絡表(色物)は統合するのが本来の目的であり、拠点別設定値シートの9行目(拠点コード=外注課色物)として他8拠点と同じ8(→9)拠点ループに含めて実行する。副CSV要否などの個別分岐はデータドリブン(CSVデータセット数／副CSVファイル名の有無で判定)で吸収するため、外注課色物専用の特別処理は設けない。
【2026/7/6 追記】「拠点ループ対象」列は廃止。代わりに先頭列に「処理有無」列(有/無)を新設し、テスト時の対象絞り込みや将来日付の保留パラメータ管理を兼ねる可変スイッチとして一本化した。</t>
  </si>
  <si>
    <t>処理対象シートの開始/終了番号パラメータ化</t>
  </si>
  <si>
    <t>2026/7/3 荘田さんの要望「シート枚数もパラメータになれば」を受け、従来の「シートループ回数」に加えて「処理対象シート_開始番号」「処理対象シート_終了番号」を新設(開始は全拠点1で統一、終了は現行のシートループ回数を踏襲)。東京はこれに合わせて終了番号を19に是正(荘田さん確認済み。プログラムのバグではなく、部署数の増加にシナリオ側の設定が追随できていなかった業務的な未整備状態として整理)。仙台の終了番号18(19枚目除外)は暫定のまま、要再確認事項として残す。</t>
  </si>
  <si>
    <t>ローカル保存のまま運用継続でOK</t>
  </si>
  <si>
    <t>2026/7/3 天野判断：東京はネットワーク保存への統一を待たず、ローカルフォルダ保存のままで統合シナリオの対象として問題ない。稼働フラグは「有」のまま。</t>
  </si>
  <si>
    <t>発注点リセット基準日数のシート単位管理方式（設計承認）</t>
  </si>
  <si>
    <t>2026/7/6 荘田室長へメール確認中：船舶はシート1・5・16のみ365日、残り22部署は90日という実例を示し、シート番号ごとに基準日数を変えられる変数(発注点リセット_部署別設定シート)を用意している設計で問題ないか確認。塚田の想定回答：問題なし(シートごとに変数設定可能にする)。正式回答待ちの暫定確定。
【2026/7/6 荘田室長 正式回答（想定通り）】その方が便利。入手困難な部品の仕入れリードタイムを1年に延ばす等、シート(部署)単位で基準日数を随時変えて運用していた実績あり。部署別テーブル参照方式のまま統合してよい。</t>
  </si>
  <si>
    <t>・2026/7/6 設計変更：「拠点別設定値」と「個別管理シナリオ(拠点ループ対象外)」の2シート構成は廃止し、成果連絡表(色物)を拠点別設定値シートの9行目に統合。9行とも共通の9拠点ループで実行し、表の抽出は1回のみ。副CSVの要否などの拠点固有差異は「CSVデータセット数」「副CSVファイル名」等の値の有無でデータドリブンに判定し、拠点別・個別のIF分岐は設けない設計とした。
2026/7/6 先頭列に「処理有無」列(有/無)を新設。ループ内で各行の処理要否をこの列で判定し、テスト対象の絞り込みや、削除せず保留したいパラメータ行の一時無効化に使う。</t>
  </si>
  <si>
    <t>外注鉄／成果連絡表(色物)</t>
  </si>
  <si>
    <t>日付重複(＝TODAY()の生数式と確定値)の設計理解</t>
  </si>
  <si>
    <t>2026/7/6 荘田室長へメール確認中：一番右端の列(=TODAY()の生きた数式)とその1列左(前回コピーした確定値)が常に同じ日付になるのは二重実行ではなく仕様であり、グラフの参照範囲がB〜AB(確定値側)までのため実害はない、という理解で合っているか確認。塚田の想定回答：合っている。正式回答待ちの暫定確定(設計・実装への影響なし、事実確認のみ)。
【2026/7/6 荘田室長 正式回答（想定と相違）】「設計として問題ない」という塚田の想定とは異なり、おそらくコピー時に片方の列を消し忘れただけではないかとの回答。実害がなければどちらか一方をシンプルに削除してよい、との指示。→ 統合シナリオでは、右端の生きた=TODAY()列と1列左の確定値列のどちらか一方に統一し、重複列を削除する方針とする(実装時対応)。</t>
  </si>
  <si>
    <t>コピペ形式(「すべて」→「値のみ」)の統一方針</t>
  </si>
  <si>
    <t>2026/7/6 荘田室長へメール確認中：在庫切れ・欠品(色)・在庫額(色)の3シートは「すべて」コピーのため貼付先が数式のまま残り、後で参照元(B〜W列等)が変わると過去の確定値まで変わってしまう可能性がある。在庫額シートのみ「値」コピーで正しく固定されている。ロジック的には全シート「値のみ」コピーに統一するのが安全という理解で問題ないか確認。塚田の想定回答：その仕様(値のみ統一)で問題なし。統合シナリオでは実装時に全拠点・全該当シートで貼り付け方式を「値のみ」に統一する方針とする。正式回答待ちの暫定確定。
【2026/7/6 荘田室長 正式回答（想定通り）】値のみコピーでよい。過去にはすべての列を同じように計算させることが重要だった時期があったが、その後「値」を重視する方針に変えた結果、在庫額シートのみ値コピーになったと思われる、とのこと。</t>
  </si>
  <si>
    <t>シート数とループ回数(終了番号)不一致時の挙動仕様</t>
  </si>
  <si>
    <t>2026/7/6 塚田判断：処理対象シート_終了番号が実際に用意されている部署シート数より大きい場合（＝存在しないシートを処理しようとする場合）はエラーとして処理を止める。逆に終了番号が実際のシート数より小さい場合（＝仙台の19枚目のように意図的に対象外とする場合）は、その分は単に処理をスキップするだけでよく、エラーとはしない。 2026/7/6 塚田判断により統合シナリオの共通仕様として確定。東京のケース(終了番号&lt;実在シート数=部署数増加へのシナリオ未整備)と仙台のケース(終了番号&lt;実在シート数=意図的スキップ)の違いは、あくまで「終了番号が実在シート数より小さい」という同一パターンだが、業務的にどちらが正しいかは都度荘田さんに確認する。逆に「終了番号が実在シート数より大きい」場合(存在しないシートを処理しようとする)は無条件でエラー扱いとする。</t>
  </si>
  <si>
    <t>サブルーチンへの引数渡し方式の訂正</t>
  </si>
  <si>
    <t>2026/7/7 実機検証により訂正：従来「RK-10のサブルーチンは表そのものは引数にできない（行のみ可）」としていたが誤りであることが判明。表型の引数（例：拠点名等でフィルター済みの列加工定義表）もサブルーチンへ直接渡せることを実機確認済み。統合シナリオでは、メインシナリオ側で列加工定義表を拠点名でフィルターし、フィルター済みの表をサブルーチン「TIMSデータ取得と加工」の第3引数として渡す設計を正式採用する。</t>
  </si>
  <si>
    <t>列加工定義シートの新設（列削除・列挿入・コピー&amp;ペーストの汎用処理化）</t>
  </si>
  <si>
    <t>2026/7/7 天野決定：欠品／在庫額（および色物系統）の列削除・列挿入・コピー&amp;ペースト処理を、拠点別設定値シートの数値列から自動生成する「列加工定義（自動生成）」シートとして新設。1行＝1回のコピー&amp;ペースト操作という単位で管理し、メインシナリオがこの表を拠点名でフィルターしてサブルーチンへ渡す。拠点別設定値シートが唯一のマスタであり、列加工定義シートは数式でそこから導出される派生表という位置づけ（拠点別設定値の値を直接編集すれば自動的に反映される）。</t>
  </si>
  <si>
    <t>貼付形式の「値」統一を列加工定義シートへ反映</t>
  </si>
  <si>
    <t>44番の決定（値のみコピーに統一）を受け、列加工定義（自動生成）シートの「本体範囲」「末尾2行」の両ステップとも貼付形式を「値」で生成するよう統一した。</t>
  </si>
  <si>
    <t>シート名管理列の新設</t>
  </si>
  <si>
    <t>2026/7/7 天野決定：拠点別設定値シートにこれまで「欠品」「在庫額」等のシート名そのものを管理する列が存在しなかったため新設（欠品シート名／在庫額シート名／欠品色シート名／在庫額色シート名）。外注鉄の標準系統シート名が「在庫切れ」、成果連絡表(色物)の在庫額相当シート名が「発注点割れ」である点を明示的に管理できるようにした。</t>
  </si>
  <si>
    <t>仙台/札幌/福岡/東京</t>
  </si>
  <si>
    <t>実機PDFとの数値クロスチェック</t>
  </si>
  <si>
    <t>2026/7/8 天野確認：仙台在庫チェック_241012.pdf／札幌在庫チェック.pdf／東京在庫チェック.pdf／福岡在庫チェック.pdfの実機スクリーンショットを取得し、拠点別設定値シートの該当4行（TIMS起動引数・CSVファイル名・在庫帳ブック名・欠品/在庫額の列挿入位置・コピペ元列/先列・処理開始行/終了行・CSV範囲・シートループ回数）と1件ずつクロスチェック。全項目一致、転記漏れ・修正点なし。あわせて、在庫帳ブック・CSVのローカルパスが4拠点ともC:\Users\ts226010\Desktop\...のハードコードになっている点を新規確認（東京固有の問題ではなく4拠点共通）。個別修正はせず、{UserDeskTopPath}変数統一（44番）にまとめて含める方針とする。</t>
  </si>
  <si>
    <t>決定済み（恒久対応は保留）</t>
  </si>
  <si>
    <t>在庫帳ブック格納フォルダの二重化（TIMS/在庫帳）</t>
  </si>
  <si>
    <t>2026/7/8 天野決定：成果連絡表チェック-V1.0.pdfを確認したところ、在庫帳ブック本体（成果連絡表（色物）.xlsx）のみデスクトップの「TIMS」フォルダに格納されており、他拠点（および同シナリオのCSV自体）は「在庫帳」フォルダに統一されていた。外注鉄・成果連絡表(色物)の2拠点だけ「TIMS」フォルダを使う点は、荘田さんの指示で誰かが個別修正した際にフォルダが二重化しただけの可能性が高いとの天野所感。恒久対応としてはいずれ「在庫帳」に統一したいが、当面はシナリオ側で分岐を書かず、拠点別設定値シートに新設した「在庫帳ブックローカルフォルダ名」列（既定値：在庫帳／外注鉄・成果連絡表(色物)のみTIMS）を参照する形で吸収する。メインシナリオのファイルコピー先、サブルーチンの在庫帳ブックを開く処理とも、{UserDeskTopPath}¥{在庫帳ブックローカルフォルダ名}¥{在庫帳ブック名} の式に統一する。</t>
  </si>
  <si>
    <t>成果連絡表(色物)（他拠点の色物系統含む）</t>
  </si>
  <si>
    <t>拠点シートの加工サブルーチンの二重列挿入バグ対応</t>
  </si>
  <si>
    <t>2026/7/8 天野決定：汎用シナリオの結果ファイル（成果連絡表(色物)）と元ファイルを突き合わせたところ、「拠点シートの加工」サブルーチンが加工拠点表の行ごと（ステップ1・ステップ2）に列削除・列挿入を独立実行してしまい、1区分につき列が2本挿入される不具合を確認（片方は正しくデータが入るが、もう片方は44〜61行が空白のまま残る）。サブルーチン側では「シートが変わったか」を判定できない（1行ずつ独立して呼ばれるため）ので、列加工定義シートに新設した「列削除列挿入_要否」列（ステップ番号=1のとき「有」、それ以外「無」、数式で自動導出）をサブルーチンが参照し、「無」の行では列削除・列挿入をスキップしてペーストのみ行う設計に変更する。</t>
  </si>
  <si>
    <t>決定済み（修正実施）</t>
  </si>
  <si>
    <t>外注鉄／船舶</t>
  </si>
  <si>
    <t>在庫帳ブックローカルフォルダ名の設定値誤り</t>
  </si>
  <si>
    <t>2026/7/14 天野確認：外注鉄在庫チェック-V1.0・船舶在庫チェック-V1.0の実PDFを再確認したところ、外注鉄は全ステップ(12,36,72-73,104-105,151,153,191,238等)で{UserDeskTopPath}¥在庫帳¥、船舶は全ステップ(17,52,58,104,158-160等)で{UserDeskTopPath}¥TIMS¥を参照しており、拠点別設定値シートの値（外注鉄=TIMS／船舶=在庫帳）が実態と逆になっていたことが判明。外注鉄=在庫帳、船舶=TIMSに修正済み。要確認事項#21(外注鉄の前半/後半でフォルダが違うという記載)および#51(外注鉄・成果連絡表(色物)のみTIMSという前提)はこの誤りをもとにした記載のため、外注鉄については再確認が必要（成果連絡表(色物)側は未検証のまま）。</t>
  </si>
  <si>
    <t>決定済み（修正実施・恒久対応）</t>
  </si>
  <si>
    <t>船舶／成果連絡表(色物)</t>
  </si>
  <si>
    <t>在庫帳ブックローカルフォルダ名をTIMSから在庫帳へ統一</t>
  </si>
  <si>
    <t>2026/7/14 天野判断：要確認事項#51で保留していた恒久対応(TIMS/在庫帳の二重化解消)を実施。9拠点中7拠点が既に「在庫帳」であるため、船舶・成果連絡表(色物)も「在庫帳」に統一。汎用シナリオはメインシナリオ内でネットワーク共有の在庫帳ブックを{在庫帳ブックローカルフォルダ名}指定のローカルフォルダへ毎回上書きコピーする設計(各種TIMS在庫データシナリオ-V2.0 39行目)のため、旧TIMSフォルダに残る過去ファイルの有無に関わらず次回実行時から自動的に在庫帳フォルダで動作する。CSVもTIMSから都度新規エクスポートのため同様に依存なし。移行時の手動ファイル配置は不要と判断。</t>
  </si>
  <si>
    <t>未着手（本番切替時タスク）</t>
  </si>
  <si>
    <t>NASへの書き戻し処理の新規実装</t>
  </si>
  <si>
    <t>2026/7/14 天野確認：現行の汎用シナリオは「NAS原本→ローカルへコピー→ローカル上で処理完結」までの設計であり、処理結果をNASへ書き戻す処理は意図的に未実装（検証中はネットワークの影響を受けないための隔離が目的）。本番切替時には、保存先(ネットワーク)フルパス列の値へ結果ファイルを書き戻す処理をメインシナリオに新規追加する必要がある。</t>
  </si>
  <si>
    <t>保存先(ネットワーク)フルパス列を参照元と同一に変更</t>
  </si>
  <si>
    <t>2026/7/14 天野確認：現状の保存先(ネットワーク)フルパス列は検証用の退避フォルダ(…¥汎用在庫シナリオ用¥汎用在庫テスト結果)を指しており、本番切替時は参照元(ネットワーク)フルパスと同一の値（＝原本上書き）に書き換える。上記「NASへの書き戻し処理」の実装とセットで対応。</t>
  </si>
  <si>
    <t>書き戻し前のバックアップドライブ退避処理の新規実装</t>
  </si>
  <si>
    <t>2026/7/14 天野確認：原本上書きへの不安があるため、書き戻し直前に前日ファイルをバックアップドライブへ退避する処理を新規に設ける想定。V1.0時代の「NAS上のOLDフォルダへ退避」方式(倉庫・船舶で実装済み、製造は要確認事項#2で新規実装決定済み)とは退避先の方式が異なるため、統合版のOLDバックアップ_実行フラグの意味・実装方式を「バックアップドライブ退避」に合わせて再設計する必要がある。</t>
  </si>
  <si>
    <t>シート名(部署)</t>
  </si>
  <si>
    <t>リセット日数</t>
  </si>
  <si>
    <t>基準数式(参考)</t>
  </si>
  <si>
    <t>確認状況</t>
  </si>
  <si>
    <t>1</t>
  </si>
  <si>
    <t>TODAY()-90日 相当</t>
  </si>
  <si>
    <t>実ファイルで確認(2026/7/3)</t>
  </si>
  <si>
    <t>2</t>
  </si>
  <si>
    <t>3</t>
  </si>
  <si>
    <t>4</t>
  </si>
  <si>
    <t>5</t>
  </si>
  <si>
    <t>6</t>
  </si>
  <si>
    <t>7</t>
  </si>
  <si>
    <t>8</t>
  </si>
  <si>
    <t>9</t>
  </si>
  <si>
    <t>TODAY()-365日 相当</t>
  </si>
  <si>
    <t>10</t>
  </si>
  <si>
    <t>11</t>
  </si>
  <si>
    <t>12</t>
  </si>
  <si>
    <t>13</t>
  </si>
  <si>
    <t>14</t>
  </si>
  <si>
    <t>15</t>
  </si>
  <si>
    <t>16</t>
  </si>
  <si>
    <t>17</t>
  </si>
  <si>
    <t>18</t>
  </si>
  <si>
    <t>19</t>
  </si>
  <si>
    <t>20</t>
  </si>
  <si>
    <t>21</t>
  </si>
  <si>
    <t>22</t>
  </si>
  <si>
    <t>23</t>
  </si>
  <si>
    <t>24</t>
  </si>
  <si>
    <t>25</t>
  </si>
  <si>
    <t>実ファイルで確認(2026/7/3)。なお倉庫のみ発注点差分の列がO列でなくN列("発点差")である点に注意</t>
  </si>
  <si>
    <t>TODAY()-50日 相当</t>
  </si>
  <si>
    <t>実ファイルで確認(2026/8/5)</t>
  </si>
  <si>
    <t>26</t>
  </si>
  <si>
    <t>27</t>
  </si>
  <si>
    <t>実ファイルで確認(2026/7/3)。全19シートともF1が数式=TODAY()-90で統一(計算済み日付ではなく数式のまま保持されている実例)。</t>
  </si>
  <si>
    <t>確認済み(要確認)</t>
  </si>
  <si>
    <t>実ファイルで確認(2026/7/3)。F1式自体は他と同じ=TODAY()-90だが、シート19はコード/品名等がすべて異常値(#N/A等)で実質未使用の可能性。かつRPAシナリオ側のループ回数は18回のみで19番目のシートはそもそも処理対象外になっている。バグか意図的な除外か要確認。</t>
  </si>
  <si>
    <t>実ファイルで確認(2026/7/3)。F1は=TODAY()-90で統一。</t>
  </si>
  <si>
    <t>実ファイルで確認(2026/7/3)。F1式自体は他部署と同じ=TODAY()-90で、データも正常に入っているが、RPAシナリオのループ回数は16回までのため、この部署(17〜19)はシナリオの処理対象外になっている可能性が高い。</t>
  </si>
  <si>
    <t>有</t>
    <rPh sb="0" eb="1">
      <t>アリ</t>
    </rPh>
    <phoneticPr fontId="23"/>
  </si>
  <si>
    <t>有</t>
    <rPh sb="0" eb="1">
      <t>ア</t>
    </rPh>
    <phoneticPr fontId="23"/>
  </si>
  <si>
    <t>\\192.168.0.35\disk\企画室\倉庫</t>
    <phoneticPr fontId="23"/>
  </si>
  <si>
    <t>シート番号</t>
    <rPh sb="3" eb="5">
      <t>バンゴウ</t>
    </rPh>
    <phoneticPr fontId="23"/>
  </si>
  <si>
    <t>理由</t>
    <rPh sb="0" eb="2">
      <t>リユウ</t>
    </rPh>
    <phoneticPr fontId="23"/>
  </si>
  <si>
    <t>管理対象外</t>
    <rPh sb="0" eb="2">
      <t>カンリ</t>
    </rPh>
    <rPh sb="2" eb="4">
      <t>タイショウ</t>
    </rPh>
    <rPh sb="4" eb="5">
      <t>ガイ</t>
    </rPh>
    <phoneticPr fontId="23"/>
  </si>
  <si>
    <r>
      <rPr>
        <sz val="10"/>
        <rFont val="ＭＳ ゴシック"/>
        <family val="3"/>
        <charset val="128"/>
      </rPr>
      <t>外注鉄在庫帳</t>
    </r>
    <r>
      <rPr>
        <sz val="10"/>
        <rFont val="Arial"/>
        <family val="2"/>
      </rPr>
      <t>.xlsx</t>
    </r>
    <phoneticPr fontId="23"/>
  </si>
  <si>
    <t>外注鉄</t>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</si>
</sst>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ＭＳ Ｐゴシック"/>
    </font>
    <font>
      <b/>
      <sz val="14"/>
      <name val="Noto Sans CJK SC"/>
    </font>
    <font>
      <sz val="11"/>
      <color theme="1"/>
      <name val="Noto Sans CJK SC"/>
    </font>
    <font>
      <b/>
      <sz val="11"/>
      <name val="Noto Sans CJK SC"/>
    </font>
    <font>
      <b/>
      <sz val="11"/>
      <color rgb="FFFFFFFF"/>
      <name val="Noto Sans CJK SC"/>
    </font>
    <font>
      <sz val="11"/>
      <color theme="1"/>
      <name val="Noto Sans CJK SC"/>
    </font>
    <font>
      <b/>
      <sz val="11"/>
      <name val="ＭＳ Ｐゴシック"/>
      <family val="3"/>
      <charset val="128"/>
    </font>
    <font>
      <b/>
      <sz val="13"/>
      <name val="Noto Sans CJK SC"/>
    </font>
    <font>
      <b/>
      <sz val="11"/>
      <color rgb="FFFFFFFF"/>
      <name val="游ゴシック"/>
      <family val="3"/>
      <charset val="128"/>
    </font>
    <font>
      <b/>
      <sz val="11"/>
      <color theme="0"/>
      <name val="ＭＳ Ｐゴシック"/>
      <family val="3"/>
      <charset val="128"/>
    </font>
    <font>
      <b/>
      <sz val="11"/>
      <color theme="0"/>
      <name val="Noto Sans CJK SC"/>
    </font>
    <font>
      <sz val="10"/>
      <name val="Noto Sans CJK SC"/>
    </font>
    <font>
      <sz val="10"/>
      <name val="游ゴシック"/>
      <family val="3"/>
      <charset val="128"/>
    </font>
    <font>
      <sz val="10"/>
      <name val="Noto Sans CJK SC"/>
    </font>
    <font>
      <sz val="11"/>
      <name val="Noto Sans CJK SC"/>
    </font>
    <font>
      <sz val="10"/>
      <name val="Noto Sans CJK SC"/>
    </font>
    <font>
      <sz val="11"/>
      <name val="Noto Sans CJK SC"/>
    </font>
    <font>
      <sz val="10"/>
      <color rgb="FF000000"/>
      <name val="Noto Sans CJK SC"/>
    </font>
    <font>
      <sz val="10"/>
      <color rgb="FF000000"/>
      <name val="游ゴシック"/>
      <family val="3"/>
      <charset val="128"/>
    </font>
    <font>
      <sz val="11"/>
      <name val="游ゴシック"/>
      <family val="3"/>
      <charset val="128"/>
    </font>
    <font>
      <b/>
      <sz val="10"/>
      <name val="Noto Sans CJK SC"/>
    </font>
    <font>
      <sz val="10"/>
      <color theme="1"/>
      <name val="Noto Sans CJK SC"/>
    </font>
    <font>
      <sz val="10"/>
      <color theme="1"/>
      <name val="游ゴシック"/>
      <family val="3"/>
      <charset val="128"/>
    </font>
    <font>
      <sz val="6"/>
      <name val="ＭＳ Ｐゴシック"/>
      <family val="3"/>
      <charset val="128"/>
    </font>
    <font>
      <sz val="10"/>
      <name val="Arial"/>
      <family val="2"/>
    </font>
    <font>
      <sz val="10"/>
      <name val="ＭＳ ゴシック"/>
      <family val="3"/>
    </font>
    <font>
      <sz val="10"/>
      <name val="ＭＳ ゴシック"/>
      <family val="3"/>
      <charset val="128"/>
    </font>
    <font>
      <sz val="10"/>
      <name val="Noto Sans CJK SC"/>
      <family val="3"/>
      <charset val="128"/>
    </font>
    <font>
      <b/>
      <sz val="11"/>
      <color rgb="FFFFFFFF"/>
      <name val="ＭＳ ゴシック"/>
      <family val="3"/>
      <charset val="128"/>
    </font>
    <font>
      <sz val="10"/>
      <name val="ＭＳ Ｐゴシック"/>
      <family val="3"/>
      <charset val="128"/>
    </font>
  </fonts>
  <fills count="12">
    <fill>
      <patternFill patternType="none"/>
    </fill>
    <fill>
      <patternFill patternType="gray125"/>
    </fill>
    <fill>
      <patternFill patternType="solid">
        <fgColor rgb="FF4472C4"/>
      </patternFill>
    </fill>
    <fill>
      <patternFill patternType="solid">
        <fgColor rgb="FFD9E1F2"/>
      </patternFill>
    </fill>
    <fill>
      <patternFill patternType="solid">
        <fgColor rgb="FF305496"/>
      </patternFill>
    </fill>
    <fill>
      <patternFill patternType="solid">
        <fgColor theme="4" tint="-0.249977111117893"/>
        <bgColor indexed="65"/>
      </patternFill>
    </fill>
    <fill>
      <patternFill patternType="solid">
        <fgColor rgb="FFFCE4E4"/>
      </patternFill>
    </fill>
    <fill>
      <patternFill patternType="solid">
        <fgColor rgb="FFE2EFDA"/>
      </patternFill>
    </fill>
    <fill>
      <patternFill patternType="solid">
        <fgColor rgb="FFFCE4D6"/>
      </patternFill>
    </fill>
    <fill>
      <patternFill patternType="solid">
        <fgColor rgb="FFFFF2CC"/>
      </patternFill>
    </fill>
    <fill>
      <patternFill patternType="solid">
        <fgColor rgb="FFF2F2F2"/>
      </patternFill>
    </fill>
    <fill>
      <patternFill patternType="solid">
        <fgColor rgb="FFD9EAD3"/>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top/>
      <bottom style="thin">
        <color rgb="FFBFBFBF"/>
      </bottom>
      <diagonal/>
    </border>
    <border>
      <left/>
      <right/>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auto="1"/>
      </left>
      <right style="thin">
        <color auto="1"/>
      </right>
      <top style="thin">
        <color auto="1"/>
      </top>
      <bottom style="thin">
        <color auto="1"/>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109">
    <xf numFmtId="0" fontId="0" fillId="0" borderId="0" xfId="0"/>
    <xf numFmtId="0" fontId="2" fillId="0" borderId="0" xfId="0" applyFont="1" applyAlignment="1">
      <alignment vertical="top" wrapText="1"/>
    </xf>
    <xf numFmtId="0" fontId="3" fillId="0" borderId="0" xfId="0" applyFont="1"/>
    <xf numFmtId="0" fontId="0" fillId="0" borderId="2" xfId="0" applyBorder="1"/>
    <xf numFmtId="0" fontId="2" fillId="0" borderId="0" xfId="0" applyFont="1"/>
    <xf numFmtId="0" fontId="4"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wrapText="1"/>
    </xf>
    <xf numFmtId="0" fontId="6" fillId="0" borderId="0" xfId="0" applyFont="1"/>
    <xf numFmtId="0" fontId="2" fillId="0" borderId="0" xfId="0" applyFont="1" applyAlignment="1">
      <alignment wrapText="1"/>
    </xf>
    <xf numFmtId="0" fontId="3" fillId="3" borderId="2" xfId="0" applyFont="1" applyFill="1" applyBorder="1" applyAlignment="1">
      <alignment horizontal="left" vertical="center"/>
    </xf>
    <xf numFmtId="0" fontId="4" fillId="4"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9" fillId="5" borderId="6" xfId="0" applyFont="1" applyFill="1" applyBorder="1" applyAlignment="1">
      <alignment vertical="center" wrapText="1"/>
    </xf>
    <xf numFmtId="0" fontId="10" fillId="5" borderId="6" xfId="0" applyFont="1" applyFill="1" applyBorder="1" applyAlignment="1">
      <alignment vertical="center" wrapText="1"/>
    </xf>
    <xf numFmtId="0" fontId="4" fillId="4"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1"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6" xfId="0" applyFont="1" applyBorder="1" applyAlignment="1">
      <alignment horizontal="left" vertical="center" wrapText="1"/>
    </xf>
    <xf numFmtId="0" fontId="12" fillId="0" borderId="6" xfId="0" applyFont="1" applyBorder="1" applyAlignment="1">
      <alignment horizontal="left" vertical="center" wrapText="1"/>
    </xf>
    <xf numFmtId="0" fontId="13" fillId="0" borderId="6" xfId="0" applyFont="1" applyBorder="1" applyAlignment="1">
      <alignment horizontal="center" vertical="center" wrapText="1"/>
    </xf>
    <xf numFmtId="0" fontId="13" fillId="6" borderId="6"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2" fillId="0" borderId="9" xfId="0" applyFont="1" applyBorder="1" applyAlignment="1">
      <alignment horizontal="center" vertical="center" wrapText="1"/>
    </xf>
    <xf numFmtId="0" fontId="0" fillId="0" borderId="6" xfId="0" applyBorder="1" applyAlignment="1">
      <alignment wrapText="1"/>
    </xf>
    <xf numFmtId="0" fontId="13" fillId="7" borderId="7" xfId="0" applyFont="1" applyFill="1" applyBorder="1" applyAlignment="1">
      <alignment horizontal="center" vertical="center" wrapText="1"/>
    </xf>
    <xf numFmtId="0" fontId="13" fillId="0" borderId="8" xfId="0" applyFont="1" applyBorder="1" applyAlignment="1">
      <alignment horizontal="left" vertical="center" wrapText="1"/>
    </xf>
    <xf numFmtId="0" fontId="14" fillId="8" borderId="6" xfId="0" applyFont="1" applyFill="1" applyBorder="1" applyAlignment="1">
      <alignment horizontal="center"/>
    </xf>
    <xf numFmtId="0" fontId="15" fillId="0" borderId="6" xfId="0" applyFont="1" applyBorder="1" applyAlignment="1">
      <alignment horizontal="left" vertical="center" wrapText="1"/>
    </xf>
    <xf numFmtId="0" fontId="13" fillId="9" borderId="6" xfId="0" applyFont="1" applyFill="1" applyBorder="1" applyAlignment="1">
      <alignment horizontal="center" vertical="center" wrapText="1"/>
    </xf>
    <xf numFmtId="0" fontId="12" fillId="0" borderId="6" xfId="0" applyFont="1" applyBorder="1" applyAlignment="1">
      <alignment horizontal="center" wrapText="1"/>
    </xf>
    <xf numFmtId="0" fontId="13" fillId="0" borderId="6" xfId="0" applyFont="1" applyBorder="1" applyAlignment="1">
      <alignment horizontal="left" wrapText="1"/>
    </xf>
    <xf numFmtId="0" fontId="12" fillId="0" borderId="6" xfId="0" applyFont="1" applyBorder="1" applyAlignment="1">
      <alignment horizontal="left" wrapText="1"/>
    </xf>
    <xf numFmtId="0" fontId="13" fillId="0" borderId="6" xfId="0" applyFont="1" applyBorder="1" applyAlignment="1">
      <alignment horizontal="center" wrapText="1"/>
    </xf>
    <xf numFmtId="0" fontId="12" fillId="0" borderId="9" xfId="0" applyFont="1" applyBorder="1" applyAlignment="1">
      <alignment horizontal="center" wrapText="1"/>
    </xf>
    <xf numFmtId="0" fontId="2" fillId="0" borderId="6" xfId="0" applyFont="1" applyBorder="1" applyAlignment="1">
      <alignment wrapText="1"/>
    </xf>
    <xf numFmtId="0" fontId="16" fillId="8" borderId="6" xfId="0" applyFont="1" applyFill="1" applyBorder="1" applyAlignment="1">
      <alignment horizontal="center"/>
    </xf>
    <xf numFmtId="0" fontId="0" fillId="10" borderId="6" xfId="0" applyFill="1" applyBorder="1" applyAlignment="1">
      <alignment wrapText="1"/>
    </xf>
    <xf numFmtId="0" fontId="0" fillId="0" borderId="6" xfId="0" applyBorder="1" applyAlignment="1">
      <alignment vertical="center" wrapText="1"/>
    </xf>
    <xf numFmtId="0" fontId="2" fillId="0" borderId="6" xfId="0" applyFont="1" applyBorder="1" applyAlignment="1">
      <alignment vertical="center" wrapText="1"/>
    </xf>
    <xf numFmtId="0" fontId="0" fillId="0" borderId="0" xfId="0" applyAlignment="1">
      <alignment vertical="center"/>
    </xf>
    <xf numFmtId="0" fontId="14" fillId="0" borderId="6" xfId="0" applyFont="1" applyBorder="1"/>
    <xf numFmtId="0" fontId="14" fillId="11" borderId="6" xfId="0" applyFont="1" applyFill="1" applyBorder="1"/>
    <xf numFmtId="0" fontId="17" fillId="0" borderId="8" xfId="0" applyFont="1" applyBorder="1" applyAlignment="1">
      <alignment horizontal="left" vertical="center"/>
    </xf>
    <xf numFmtId="0" fontId="18" fillId="0" borderId="8" xfId="0" applyFont="1" applyBorder="1" applyAlignment="1">
      <alignment horizontal="left" vertical="center" wrapText="1"/>
    </xf>
    <xf numFmtId="0" fontId="17" fillId="0" borderId="8" xfId="0" applyFont="1" applyBorder="1" applyAlignment="1">
      <alignment horizontal="left" vertical="center" wrapText="1"/>
    </xf>
    <xf numFmtId="0" fontId="18" fillId="0" borderId="8" xfId="0" applyFont="1" applyBorder="1" applyAlignment="1">
      <alignment horizontal="left" vertical="center"/>
    </xf>
    <xf numFmtId="0" fontId="17" fillId="0" borderId="4" xfId="0" applyFont="1" applyBorder="1" applyAlignment="1">
      <alignment horizontal="left" vertical="center"/>
    </xf>
    <xf numFmtId="0" fontId="17" fillId="0" borderId="4" xfId="0" applyFont="1" applyBorder="1" applyAlignment="1">
      <alignment horizontal="left" vertical="center" wrapText="1"/>
    </xf>
    <xf numFmtId="0" fontId="18" fillId="0" borderId="4" xfId="0" applyFont="1" applyBorder="1" applyAlignment="1">
      <alignment horizontal="left" vertical="center" wrapText="1"/>
    </xf>
    <xf numFmtId="0" fontId="2" fillId="0" borderId="10" xfId="0" applyFont="1" applyBorder="1" applyAlignment="1">
      <alignment wrapText="1"/>
    </xf>
    <xf numFmtId="0" fontId="0" fillId="0" borderId="10" xfId="0" applyBorder="1" applyAlignment="1">
      <alignment wrapText="1"/>
    </xf>
    <xf numFmtId="0" fontId="13" fillId="0" borderId="11" xfId="0" applyFont="1" applyBorder="1" applyAlignment="1">
      <alignment horizontal="left" vertical="center"/>
    </xf>
    <xf numFmtId="0" fontId="13" fillId="0" borderId="11" xfId="0" applyFont="1" applyBorder="1" applyAlignment="1">
      <alignment horizontal="left" vertical="center" wrapText="1"/>
    </xf>
    <xf numFmtId="0" fontId="12" fillId="0" borderId="11" xfId="0" applyFont="1" applyBorder="1" applyAlignment="1">
      <alignment horizontal="left" vertical="center" wrapText="1"/>
    </xf>
    <xf numFmtId="0" fontId="12" fillId="0" borderId="8" xfId="0" applyFont="1" applyBorder="1" applyAlignment="1">
      <alignment horizontal="left" vertical="center"/>
    </xf>
    <xf numFmtId="0" fontId="13" fillId="0" borderId="8" xfId="0" applyFont="1" applyBorder="1" applyAlignment="1">
      <alignment horizontal="lef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8" fillId="0" borderId="0" xfId="0" applyFont="1" applyAlignment="1">
      <alignment horizontal="left" vertical="center"/>
    </xf>
    <xf numFmtId="0" fontId="3" fillId="0" borderId="6" xfId="0" applyFont="1" applyBorder="1" applyAlignment="1">
      <alignment vertical="top" wrapText="1"/>
    </xf>
    <xf numFmtId="0" fontId="14" fillId="0" borderId="6" xfId="0" applyFont="1" applyBorder="1" applyAlignment="1">
      <alignment vertical="top" wrapText="1"/>
    </xf>
    <xf numFmtId="0" fontId="19" fillId="0" borderId="6" xfId="0" applyFont="1" applyBorder="1" applyAlignment="1">
      <alignment vertical="top" wrapText="1"/>
    </xf>
    <xf numFmtId="0" fontId="4" fillId="4" borderId="8" xfId="0" applyFont="1" applyFill="1" applyBorder="1" applyAlignment="1">
      <alignment horizontal="center" vertical="center"/>
    </xf>
    <xf numFmtId="0" fontId="20" fillId="9" borderId="8" xfId="0" applyFont="1" applyFill="1" applyBorder="1" applyAlignment="1">
      <alignment horizontal="center" vertical="center"/>
    </xf>
    <xf numFmtId="0" fontId="17" fillId="0" borderId="8" xfId="0" applyFont="1" applyBorder="1" applyAlignment="1">
      <alignment horizontal="center" vertical="center" wrapText="1"/>
    </xf>
    <xf numFmtId="0" fontId="20" fillId="7" borderId="8" xfId="0" applyFont="1" applyFill="1" applyBorder="1" applyAlignment="1">
      <alignment horizontal="center" vertical="center"/>
    </xf>
    <xf numFmtId="0" fontId="2" fillId="0" borderId="8" xfId="0" applyFont="1" applyBorder="1" applyAlignment="1">
      <alignment wrapText="1"/>
    </xf>
    <xf numFmtId="0" fontId="21" fillId="0" borderId="8" xfId="0" applyFont="1" applyBorder="1" applyAlignment="1">
      <alignment wrapText="1"/>
    </xf>
    <xf numFmtId="0" fontId="0" fillId="0" borderId="8" xfId="0" applyBorder="1" applyAlignment="1">
      <alignment wrapText="1"/>
    </xf>
    <xf numFmtId="0" fontId="22" fillId="0" borderId="8" xfId="0" applyFont="1" applyBorder="1" applyAlignment="1">
      <alignment wrapText="1"/>
    </xf>
    <xf numFmtId="0" fontId="13" fillId="0" borderId="8" xfId="0" applyFont="1" applyBorder="1" applyAlignment="1">
      <alignment horizontal="center" vertical="center" wrapText="1"/>
    </xf>
    <xf numFmtId="0" fontId="12" fillId="0" borderId="8" xfId="0" applyFont="1" applyBorder="1" applyAlignment="1">
      <alignment horizontal="left" vertical="center" wrapText="1"/>
    </xf>
    <xf numFmtId="0" fontId="13" fillId="7" borderId="8"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20" fillId="9" borderId="8" xfId="0" applyFont="1" applyFill="1" applyBorder="1" applyAlignment="1">
      <alignment horizontal="center" vertical="center" wrapText="1"/>
    </xf>
    <xf numFmtId="0" fontId="12" fillId="0" borderId="8" xfId="0" applyFont="1" applyBorder="1" applyAlignment="1">
      <alignment horizontal="center" vertical="center"/>
    </xf>
    <xf numFmtId="0" fontId="13" fillId="7" borderId="8" xfId="0" applyFont="1" applyFill="1" applyBorder="1" applyAlignment="1">
      <alignment horizontal="left" vertical="center"/>
    </xf>
    <xf numFmtId="0" fontId="5" fillId="0" borderId="6" xfId="0" applyFont="1" applyBorder="1"/>
    <xf numFmtId="0" fontId="0" fillId="0" borderId="6" xfId="0" applyBorder="1"/>
    <xf numFmtId="0" fontId="15" fillId="0" borderId="8" xfId="0" applyFont="1" applyBorder="1" applyAlignment="1">
      <alignment horizontal="left" vertical="center" wrapText="1"/>
    </xf>
    <xf numFmtId="0" fontId="26" fillId="6" borderId="6" xfId="0" applyFont="1" applyFill="1" applyBorder="1" applyAlignment="1">
      <alignment horizontal="center" vertical="center" wrapText="1"/>
    </xf>
    <xf numFmtId="0" fontId="27" fillId="0" borderId="6" xfId="0" applyFont="1" applyBorder="1" applyAlignment="1">
      <alignment horizontal="center" wrapText="1"/>
    </xf>
    <xf numFmtId="0" fontId="7" fillId="0" borderId="0" xfId="0" applyFont="1" applyAlignment="1">
      <alignment horizontal="center" vertical="center" wrapText="1"/>
    </xf>
    <xf numFmtId="0" fontId="0" fillId="0" borderId="0" xfId="0"/>
    <xf numFmtId="0" fontId="0" fillId="0" borderId="2" xfId="0" applyBorder="1"/>
    <xf numFmtId="0" fontId="0" fillId="0" borderId="3" xfId="0" applyBorder="1"/>
    <xf numFmtId="0" fontId="3" fillId="3" borderId="2" xfId="0" applyFont="1" applyFill="1" applyBorder="1" applyAlignment="1">
      <alignment horizontal="left" vertical="center" wrapText="1"/>
    </xf>
    <xf numFmtId="0" fontId="2" fillId="0" borderId="0" xfId="0" applyFont="1" applyAlignment="1">
      <alignment vertical="top" wrapText="1"/>
    </xf>
    <xf numFmtId="0" fontId="1" fillId="0" borderId="0" xfId="0" applyFont="1"/>
    <xf numFmtId="0" fontId="3" fillId="0" borderId="0" xfId="0" applyFont="1"/>
    <xf numFmtId="0" fontId="17" fillId="0" borderId="8" xfId="0" applyFont="1" applyBorder="1" applyAlignment="1">
      <alignment horizontal="center" vertical="center"/>
    </xf>
    <xf numFmtId="0" fontId="0" fillId="0" borderId="11" xfId="0" applyBorder="1"/>
    <xf numFmtId="0" fontId="0" fillId="0" borderId="12" xfId="0" applyBorder="1"/>
    <xf numFmtId="0" fontId="18" fillId="0" borderId="8" xfId="0" applyFont="1" applyBorder="1" applyAlignment="1">
      <alignment horizontal="center" vertical="center"/>
    </xf>
    <xf numFmtId="0" fontId="4" fillId="4" borderId="13" xfId="0" applyFont="1" applyFill="1" applyBorder="1" applyAlignment="1">
      <alignment horizontal="center" vertical="center" wrapText="1"/>
    </xf>
    <xf numFmtId="0" fontId="28" fillId="4" borderId="13" xfId="0" applyFont="1" applyFill="1" applyBorder="1" applyAlignment="1">
      <alignment horizontal="center" vertical="center" wrapText="1"/>
    </xf>
    <xf numFmtId="0" fontId="12" fillId="0" borderId="13" xfId="0" applyFont="1" applyBorder="1" applyAlignment="1">
      <alignment horizontal="center" vertical="center"/>
    </xf>
    <xf numFmtId="0" fontId="27" fillId="0" borderId="6" xfId="0" applyFont="1" applyBorder="1" applyAlignment="1">
      <alignment horizontal="left" wrapText="1"/>
    </xf>
    <xf numFmtId="0" fontId="26" fillId="0" borderId="6" xfId="0" applyFont="1" applyBorder="1" applyAlignment="1">
      <alignment horizontal="left" wrapText="1"/>
    </xf>
    <xf numFmtId="0" fontId="29" fillId="0" borderId="13" xfId="0" applyFont="1" applyBorder="1" applyAlignment="1">
      <alignment horizontal="center" vertical="center"/>
    </xf>
    <xf numFmtId="0" fontId="13" fillId="0" borderId="13" xfId="0" applyFont="1" applyBorder="1" applyAlignment="1">
      <alignment horizontal="center" vertical="center"/>
    </xf>
    <xf numFmtId="0" fontId="0" fillId="0" borderId="0" xfId="0" applyAlignment="1">
      <alignment horizontal="center"/>
    </xf>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D9EAD3"/>
      <rgbColor rgb="FFFCE4E4"/>
      <rgbColor rgb="FFD9D9D9"/>
      <rgbColor rgb="FFFF99CC"/>
      <rgbColor rgb="FFD9E1F2"/>
      <rgbColor rgb="FFFCE4D6"/>
      <rgbColor rgb="FF4472C4"/>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showGridLines="0" workbookViewId="0">
      <selection sqref="A1:F1"/>
    </sheetView>
  </sheetViews>
  <sheetFormatPr defaultColWidth="8.5" defaultRowHeight="13.5"/>
  <cols>
    <col min="1" max="1" width="16" customWidth="1"/>
    <col min="2" max="2" width="22" customWidth="1"/>
    <col min="3" max="3" width="30" customWidth="1"/>
    <col min="4" max="4" width="14" customWidth="1"/>
    <col min="5" max="5" width="20" customWidth="1"/>
    <col min="6" max="6" width="40" customWidth="1"/>
  </cols>
  <sheetData>
    <row r="1" spans="1:6" ht="17.25" customHeight="1">
      <c r="A1" s="95" t="s">
        <v>0</v>
      </c>
      <c r="B1" s="90"/>
      <c r="C1" s="90"/>
      <c r="D1" s="90"/>
      <c r="E1" s="90"/>
      <c r="F1" s="90"/>
    </row>
    <row r="2" spans="1:6" ht="14.25" customHeight="1">
      <c r="A2" s="4" t="s">
        <v>1</v>
      </c>
    </row>
    <row r="4" spans="1:6" ht="15" customHeight="1">
      <c r="A4" s="2" t="s">
        <v>2</v>
      </c>
    </row>
    <row r="5" spans="1:6" ht="15" customHeight="1">
      <c r="A5" s="5" t="s">
        <v>3</v>
      </c>
      <c r="B5" s="5" t="s">
        <v>4</v>
      </c>
      <c r="C5" s="5" t="s">
        <v>5</v>
      </c>
      <c r="D5" s="5" t="s">
        <v>6</v>
      </c>
      <c r="E5" s="5" t="s">
        <v>7</v>
      </c>
    </row>
    <row r="6" spans="1:6" ht="14.25" customHeight="1">
      <c r="A6" s="6" t="s">
        <v>8</v>
      </c>
      <c r="B6" s="7" t="s">
        <v>9</v>
      </c>
      <c r="C6" s="7" t="s">
        <v>10</v>
      </c>
      <c r="D6" s="6" t="s">
        <v>11</v>
      </c>
      <c r="E6" s="7" t="s">
        <v>12</v>
      </c>
    </row>
    <row r="7" spans="1:6" ht="14.25" customHeight="1">
      <c r="A7" s="6" t="s">
        <v>13</v>
      </c>
      <c r="B7" s="7" t="s">
        <v>14</v>
      </c>
      <c r="C7" s="7" t="s">
        <v>10</v>
      </c>
      <c r="D7" s="6" t="s">
        <v>15</v>
      </c>
      <c r="E7" s="7" t="s">
        <v>12</v>
      </c>
    </row>
    <row r="8" spans="1:6" ht="14.25" customHeight="1">
      <c r="A8" s="6" t="s">
        <v>16</v>
      </c>
      <c r="B8" s="7" t="s">
        <v>17</v>
      </c>
      <c r="C8" s="7" t="s">
        <v>10</v>
      </c>
      <c r="D8" s="6" t="s">
        <v>18</v>
      </c>
      <c r="E8" s="7" t="s">
        <v>12</v>
      </c>
    </row>
    <row r="9" spans="1:6" ht="14.25" customHeight="1">
      <c r="A9" s="6" t="s">
        <v>19</v>
      </c>
      <c r="B9" s="7" t="s">
        <v>20</v>
      </c>
      <c r="C9" s="7" t="s">
        <v>10</v>
      </c>
      <c r="D9" s="6" t="s">
        <v>21</v>
      </c>
      <c r="E9" s="7" t="s">
        <v>12</v>
      </c>
    </row>
    <row r="10" spans="1:6" ht="14.25" customHeight="1">
      <c r="A10" s="6" t="s">
        <v>22</v>
      </c>
      <c r="B10" s="7" t="s">
        <v>23</v>
      </c>
      <c r="C10" s="7" t="s">
        <v>10</v>
      </c>
      <c r="D10" s="6" t="s">
        <v>24</v>
      </c>
      <c r="E10" s="7" t="s">
        <v>12</v>
      </c>
    </row>
    <row r="11" spans="1:6" ht="27" customHeight="1">
      <c r="A11" s="6" t="s">
        <v>25</v>
      </c>
      <c r="B11" s="7" t="s">
        <v>26</v>
      </c>
      <c r="C11" s="7" t="s">
        <v>10</v>
      </c>
      <c r="D11" s="6" t="s">
        <v>27</v>
      </c>
      <c r="E11" s="7" t="s">
        <v>12</v>
      </c>
    </row>
    <row r="12" spans="1:6" ht="14.25" customHeight="1">
      <c r="A12" s="6" t="s">
        <v>28</v>
      </c>
      <c r="B12" s="7" t="s">
        <v>29</v>
      </c>
      <c r="C12" s="7" t="s">
        <v>10</v>
      </c>
      <c r="D12" s="6" t="s">
        <v>11</v>
      </c>
      <c r="E12" s="7" t="s">
        <v>30</v>
      </c>
    </row>
    <row r="13" spans="1:6" ht="27" customHeight="1">
      <c r="A13" s="6" t="s">
        <v>31</v>
      </c>
      <c r="B13" s="7" t="s">
        <v>32</v>
      </c>
      <c r="C13" s="7" t="s">
        <v>10</v>
      </c>
      <c r="D13" s="6" t="s">
        <v>11</v>
      </c>
      <c r="E13" s="7" t="s">
        <v>12</v>
      </c>
    </row>
    <row r="14" spans="1:6" ht="27" customHeight="1">
      <c r="A14" s="6" t="s">
        <v>19</v>
      </c>
      <c r="B14" s="7" t="s">
        <v>33</v>
      </c>
      <c r="C14" s="7" t="s">
        <v>34</v>
      </c>
      <c r="D14" s="6" t="s">
        <v>27</v>
      </c>
      <c r="E14" s="7" t="s">
        <v>35</v>
      </c>
    </row>
    <row r="15" spans="1:6" ht="15" customHeight="1">
      <c r="A15" s="8" t="s">
        <v>36</v>
      </c>
    </row>
    <row r="16" spans="1:6" ht="409.5" customHeight="1">
      <c r="A16" s="9" t="s">
        <v>37</v>
      </c>
    </row>
    <row r="18" spans="1:6" ht="15" customHeight="1">
      <c r="A18" s="2" t="s">
        <v>38</v>
      </c>
    </row>
    <row r="19" spans="1:6" ht="14.25" customHeight="1">
      <c r="A19" s="4" t="s">
        <v>39</v>
      </c>
      <c r="B19" t="s">
        <v>40</v>
      </c>
    </row>
    <row r="20" spans="1:6" ht="14.25" customHeight="1">
      <c r="A20" s="4" t="s">
        <v>41</v>
      </c>
      <c r="B20" t="s">
        <v>42</v>
      </c>
    </row>
    <row r="21" spans="1:6" ht="14.25" customHeight="1">
      <c r="A21" s="4" t="s">
        <v>43</v>
      </c>
      <c r="B21" t="s">
        <v>44</v>
      </c>
    </row>
    <row r="22" spans="1:6" ht="14.25" customHeight="1">
      <c r="A22" s="4" t="s">
        <v>45</v>
      </c>
      <c r="B22" t="s">
        <v>46</v>
      </c>
    </row>
    <row r="23" spans="1:6" ht="14.25" customHeight="1">
      <c r="A23" s="4" t="s">
        <v>47</v>
      </c>
      <c r="B23" t="s">
        <v>48</v>
      </c>
    </row>
    <row r="25" spans="1:6" ht="15" customHeight="1">
      <c r="A25" s="96" t="s">
        <v>49</v>
      </c>
      <c r="B25" s="90"/>
      <c r="C25" s="90"/>
      <c r="D25" s="90"/>
      <c r="E25" s="90"/>
      <c r="F25" s="90"/>
    </row>
    <row r="26" spans="1:6" ht="16.5" customHeight="1">
      <c r="A26" s="94" t="s">
        <v>50</v>
      </c>
      <c r="B26" s="90"/>
      <c r="C26" s="90"/>
      <c r="D26" s="90"/>
      <c r="E26" s="90"/>
      <c r="F26" s="90"/>
    </row>
    <row r="27" spans="1:6" ht="48" customHeight="1">
      <c r="A27" s="94" t="s">
        <v>51</v>
      </c>
      <c r="B27" s="90"/>
      <c r="C27" s="90"/>
      <c r="D27" s="90"/>
      <c r="E27" s="90"/>
      <c r="F27" s="90"/>
    </row>
    <row r="28" spans="1:6" ht="16.5" customHeight="1">
      <c r="A28" s="94" t="s">
        <v>52</v>
      </c>
      <c r="B28" s="90"/>
      <c r="C28" s="90"/>
      <c r="D28" s="90"/>
      <c r="E28" s="90"/>
      <c r="F28" s="90"/>
    </row>
    <row r="29" spans="1:6" ht="175.5" customHeight="1">
      <c r="A29" s="1" t="s">
        <v>53</v>
      </c>
    </row>
    <row r="31" spans="1:6" ht="15" customHeight="1">
      <c r="A31" s="8" t="s">
        <v>54</v>
      </c>
    </row>
    <row r="32" spans="1:6" ht="135" customHeight="1">
      <c r="A32" s="1" t="s">
        <v>55</v>
      </c>
    </row>
    <row r="33" spans="1:1" ht="121.5" customHeight="1">
      <c r="A33" s="1" t="s">
        <v>56</v>
      </c>
    </row>
    <row r="34" spans="1:1" ht="202.5" customHeight="1">
      <c r="A34" s="1" t="s">
        <v>57</v>
      </c>
    </row>
    <row r="35" spans="1:1" ht="135" customHeight="1">
      <c r="A35" s="1" t="s">
        <v>58</v>
      </c>
    </row>
    <row r="36" spans="1:1" ht="67.5" customHeight="1">
      <c r="A36" s="1" t="s">
        <v>59</v>
      </c>
    </row>
    <row r="37" spans="1:1" ht="108" customHeight="1">
      <c r="A37" s="1" t="s">
        <v>60</v>
      </c>
    </row>
    <row r="39" spans="1:1" ht="14.25" customHeight="1">
      <c r="A39" s="4" t="s">
        <v>61</v>
      </c>
    </row>
    <row r="40" spans="1:1" ht="14.25" customHeight="1">
      <c r="A40" s="4" t="s">
        <v>62</v>
      </c>
    </row>
    <row r="41" spans="1:1" ht="14.25" customHeight="1">
      <c r="A41" s="4" t="s">
        <v>63</v>
      </c>
    </row>
    <row r="42" spans="1:1" ht="14.25" customHeight="1">
      <c r="A42" s="4" t="s">
        <v>64</v>
      </c>
    </row>
    <row r="43" spans="1:1" ht="14.25" customHeight="1">
      <c r="A43" s="4" t="s">
        <v>65</v>
      </c>
    </row>
    <row r="45" spans="1:1" ht="14.25" customHeight="1">
      <c r="A45" s="4" t="s">
        <v>66</v>
      </c>
    </row>
    <row r="46" spans="1:1" ht="14.25" customHeight="1">
      <c r="A46" t="s">
        <v>67</v>
      </c>
    </row>
    <row r="47" spans="1:1" ht="14.25" customHeight="1">
      <c r="A47" s="4" t="s">
        <v>68</v>
      </c>
    </row>
    <row r="48" spans="1:1" ht="14.25" customHeight="1">
      <c r="A48" t="s">
        <v>69</v>
      </c>
    </row>
  </sheetData>
  <mergeCells count="5">
    <mergeCell ref="A28:F28"/>
    <mergeCell ref="A1:F1"/>
    <mergeCell ref="A27:F27"/>
    <mergeCell ref="A26:F26"/>
    <mergeCell ref="A25:F25"/>
  </mergeCells>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2"/>
  <sheetViews>
    <sheetView showGridLines="0" tabSelected="1" workbookViewId="0">
      <selection activeCell="D7" sqref="D7"/>
    </sheetView>
  </sheetViews>
  <sheetFormatPr defaultColWidth="8.5" defaultRowHeight="13.5"/>
  <cols>
    <col min="1" max="1" width="8.875" customWidth="1"/>
    <col min="2" max="2" width="13.375" customWidth="1"/>
    <col min="3" max="3" width="13.25" customWidth="1"/>
    <col min="4" max="4" width="16" customWidth="1"/>
    <col min="5" max="5" width="20" customWidth="1"/>
    <col min="6" max="6" width="22" customWidth="1"/>
    <col min="7" max="7" width="48.5" customWidth="1"/>
    <col min="8" max="8" width="27.75" customWidth="1"/>
    <col min="9" max="9" width="21.5" customWidth="1"/>
    <col min="10" max="22" width="10" customWidth="1"/>
    <col min="23" max="23" width="12" customWidth="1"/>
    <col min="24" max="24" width="14" customWidth="1"/>
    <col min="25" max="25" width="12" customWidth="1"/>
    <col min="26" max="27" width="10" customWidth="1"/>
    <col min="28" max="28" width="12" customWidth="1"/>
    <col min="29" max="29" width="22" customWidth="1"/>
    <col min="30" max="30" width="17.375" customWidth="1"/>
    <col min="31" max="31" width="16" customWidth="1"/>
    <col min="32" max="33" width="22" customWidth="1"/>
    <col min="34" max="34" width="18.625" customWidth="1"/>
    <col min="35" max="35" width="19.25" customWidth="1"/>
    <col min="36" max="49" width="16" customWidth="1"/>
    <col min="55" max="58" width="14" customWidth="1"/>
    <col min="59" max="59" width="13" customWidth="1"/>
  </cols>
  <sheetData>
    <row r="1" spans="1:59" ht="22.5" customHeight="1">
      <c r="A1" s="89" t="s">
        <v>70</v>
      </c>
      <c r="B1" s="90"/>
      <c r="C1" s="90"/>
      <c r="D1" s="90"/>
      <c r="E1" s="90"/>
      <c r="F1" s="90"/>
      <c r="G1" s="90"/>
    </row>
    <row r="2" spans="1:59" ht="27" customHeight="1">
      <c r="A2" s="93" t="s">
        <v>71</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2"/>
      <c r="AL2" s="92"/>
      <c r="AM2" s="92"/>
      <c r="AN2" s="92"/>
      <c r="AO2" s="92"/>
      <c r="AP2" s="92"/>
      <c r="AQ2" s="92"/>
      <c r="AR2" s="92"/>
      <c r="AS2" s="92"/>
      <c r="AT2" s="92"/>
      <c r="AU2" s="92"/>
      <c r="AV2" s="92"/>
      <c r="AW2" s="92"/>
      <c r="AX2" s="3"/>
      <c r="AY2" s="10" t="s">
        <v>72</v>
      </c>
      <c r="AZ2" s="10"/>
      <c r="BA2" s="10" t="s">
        <v>73</v>
      </c>
      <c r="BB2" s="10"/>
      <c r="BG2" s="4" t="s">
        <v>74</v>
      </c>
    </row>
    <row r="3" spans="1:59" ht="36.75" customHeight="1">
      <c r="A3" s="11" t="s">
        <v>75</v>
      </c>
      <c r="B3" s="11" t="s">
        <v>76</v>
      </c>
      <c r="C3" s="11" t="s">
        <v>3</v>
      </c>
      <c r="D3" s="11" t="s">
        <v>4</v>
      </c>
      <c r="E3" s="12" t="s">
        <v>77</v>
      </c>
      <c r="F3" s="12" t="s">
        <v>78</v>
      </c>
      <c r="G3" s="11" t="s">
        <v>79</v>
      </c>
      <c r="H3" s="11" t="s">
        <v>80</v>
      </c>
      <c r="I3" s="11" t="s">
        <v>81</v>
      </c>
      <c r="J3" s="11" t="s">
        <v>82</v>
      </c>
      <c r="K3" s="11" t="s">
        <v>83</v>
      </c>
      <c r="L3" s="11" t="s">
        <v>84</v>
      </c>
      <c r="M3" s="11" t="s">
        <v>85</v>
      </c>
      <c r="N3" s="11" t="s">
        <v>86</v>
      </c>
      <c r="O3" s="11" t="s">
        <v>87</v>
      </c>
      <c r="P3" s="11" t="s">
        <v>88</v>
      </c>
      <c r="Q3" s="11" t="s">
        <v>89</v>
      </c>
      <c r="R3" s="11" t="s">
        <v>90</v>
      </c>
      <c r="S3" s="11" t="s">
        <v>91</v>
      </c>
      <c r="T3" s="12" t="s">
        <v>92</v>
      </c>
      <c r="U3" s="12" t="s">
        <v>93</v>
      </c>
      <c r="V3" s="11" t="s">
        <v>94</v>
      </c>
      <c r="W3" s="11" t="s">
        <v>95</v>
      </c>
      <c r="X3" s="11" t="s">
        <v>96</v>
      </c>
      <c r="Y3" s="12" t="s">
        <v>97</v>
      </c>
      <c r="Z3" s="12" t="s">
        <v>98</v>
      </c>
      <c r="AA3" s="11" t="s">
        <v>99</v>
      </c>
      <c r="AB3" s="12" t="s">
        <v>100</v>
      </c>
      <c r="AC3" s="11" t="s">
        <v>101</v>
      </c>
      <c r="AD3" s="13" t="s">
        <v>102</v>
      </c>
      <c r="AE3" s="14" t="s">
        <v>103</v>
      </c>
      <c r="AF3" s="15" t="s">
        <v>104</v>
      </c>
      <c r="AG3" s="15" t="s">
        <v>105</v>
      </c>
      <c r="AH3" s="15" t="s">
        <v>106</v>
      </c>
      <c r="AI3" s="15" t="s">
        <v>107</v>
      </c>
      <c r="AJ3" s="15" t="s">
        <v>108</v>
      </c>
      <c r="AK3" s="15" t="s">
        <v>109</v>
      </c>
      <c r="AL3" s="15" t="s">
        <v>110</v>
      </c>
      <c r="AM3" s="15" t="s">
        <v>111</v>
      </c>
      <c r="AN3" s="15" t="s">
        <v>112</v>
      </c>
      <c r="AO3" s="15" t="s">
        <v>113</v>
      </c>
      <c r="AP3" s="15" t="s">
        <v>114</v>
      </c>
      <c r="AQ3" s="15" t="s">
        <v>115</v>
      </c>
      <c r="AR3" s="15" t="s">
        <v>116</v>
      </c>
      <c r="AS3" s="15" t="s">
        <v>117</v>
      </c>
      <c r="AT3" s="15" t="s">
        <v>118</v>
      </c>
      <c r="AU3" s="15" t="s">
        <v>119</v>
      </c>
      <c r="AV3" s="16" t="s">
        <v>120</v>
      </c>
      <c r="AW3" s="17" t="s">
        <v>121</v>
      </c>
      <c r="AX3" s="17" t="s">
        <v>122</v>
      </c>
      <c r="AY3" s="16" t="s">
        <v>5</v>
      </c>
      <c r="AZ3" s="18" t="s">
        <v>123</v>
      </c>
      <c r="BA3" s="16" t="s">
        <v>124</v>
      </c>
      <c r="BB3" s="16" t="s">
        <v>125</v>
      </c>
      <c r="BC3" s="19" t="s">
        <v>126</v>
      </c>
      <c r="BD3" s="19" t="s">
        <v>127</v>
      </c>
      <c r="BE3" s="19" t="s">
        <v>128</v>
      </c>
      <c r="BF3" s="19" t="s">
        <v>129</v>
      </c>
      <c r="BG3" s="19" t="s">
        <v>130</v>
      </c>
    </row>
    <row r="4" spans="1:59" ht="30" customHeight="1">
      <c r="A4" s="20" t="s">
        <v>511</v>
      </c>
      <c r="B4" s="21"/>
      <c r="C4" s="21" t="s">
        <v>8</v>
      </c>
      <c r="D4" s="22" t="s">
        <v>9</v>
      </c>
      <c r="E4" s="23" t="s">
        <v>131</v>
      </c>
      <c r="F4" s="22" t="s">
        <v>132</v>
      </c>
      <c r="G4" s="32" t="s">
        <v>133</v>
      </c>
      <c r="H4" s="23" t="s">
        <v>134</v>
      </c>
      <c r="I4" s="23" t="s">
        <v>513</v>
      </c>
      <c r="J4" s="24">
        <v>23</v>
      </c>
      <c r="K4" s="21" t="s">
        <v>135</v>
      </c>
      <c r="L4" s="21" t="s">
        <v>136</v>
      </c>
      <c r="M4" s="24">
        <v>27</v>
      </c>
      <c r="N4" s="24">
        <v>48</v>
      </c>
      <c r="O4" s="24">
        <v>21</v>
      </c>
      <c r="P4" s="21" t="s">
        <v>137</v>
      </c>
      <c r="Q4" s="21" t="s">
        <v>138</v>
      </c>
      <c r="R4" s="24">
        <v>29</v>
      </c>
      <c r="S4" s="24">
        <v>52</v>
      </c>
      <c r="T4" s="21" t="s">
        <v>139</v>
      </c>
      <c r="U4" s="24">
        <v>2000</v>
      </c>
      <c r="V4" s="24">
        <v>19</v>
      </c>
      <c r="W4" s="25" t="s">
        <v>140</v>
      </c>
      <c r="X4" s="25" t="s">
        <v>140</v>
      </c>
      <c r="Y4" s="25" t="s">
        <v>140</v>
      </c>
      <c r="Z4" s="25" t="s">
        <v>141</v>
      </c>
      <c r="AA4" s="26" t="s">
        <v>10</v>
      </c>
      <c r="AB4" s="25" t="s">
        <v>140</v>
      </c>
      <c r="AC4" s="25" t="s">
        <v>140</v>
      </c>
      <c r="AD4" s="27"/>
      <c r="AE4" s="28">
        <v>1</v>
      </c>
      <c r="AF4" s="28"/>
      <c r="AG4" s="28"/>
      <c r="AH4" s="28"/>
      <c r="AI4" s="28" t="s">
        <v>142</v>
      </c>
      <c r="AJ4" s="28"/>
      <c r="AK4" s="28"/>
      <c r="AL4" s="28"/>
      <c r="AM4" s="28"/>
      <c r="AN4" s="28"/>
      <c r="AO4" s="28"/>
      <c r="AP4" s="28"/>
      <c r="AQ4" s="28"/>
      <c r="AR4" s="28"/>
      <c r="AS4" s="28"/>
      <c r="AT4" s="28"/>
      <c r="AU4" s="28"/>
      <c r="AV4" s="29" t="s">
        <v>10</v>
      </c>
      <c r="AW4" s="30" t="s">
        <v>143</v>
      </c>
      <c r="AX4" s="30" t="s">
        <v>144</v>
      </c>
      <c r="AY4" s="29" t="s">
        <v>10</v>
      </c>
      <c r="AZ4" s="29"/>
      <c r="BA4" s="29">
        <v>1</v>
      </c>
      <c r="BB4" s="29">
        <v>19</v>
      </c>
      <c r="BC4" s="31" t="s">
        <v>145</v>
      </c>
      <c r="BD4" s="31" t="s">
        <v>146</v>
      </c>
      <c r="BE4" s="31"/>
      <c r="BF4" s="31"/>
      <c r="BG4" s="31" t="s">
        <v>147</v>
      </c>
    </row>
    <row r="5" spans="1:59" ht="30" customHeight="1">
      <c r="A5" s="20" t="s">
        <v>511</v>
      </c>
      <c r="B5" s="24"/>
      <c r="C5" s="21" t="s">
        <v>13</v>
      </c>
      <c r="D5" s="22" t="s">
        <v>14</v>
      </c>
      <c r="E5" s="23" t="s">
        <v>148</v>
      </c>
      <c r="F5" s="22" t="s">
        <v>149</v>
      </c>
      <c r="G5" s="32" t="s">
        <v>150</v>
      </c>
      <c r="H5" s="23" t="s">
        <v>151</v>
      </c>
      <c r="I5" s="23" t="s">
        <v>513</v>
      </c>
      <c r="J5" s="24">
        <v>24</v>
      </c>
      <c r="K5" s="21" t="s">
        <v>152</v>
      </c>
      <c r="L5" s="21" t="s">
        <v>135</v>
      </c>
      <c r="M5" s="24">
        <v>37</v>
      </c>
      <c r="N5" s="24">
        <v>58</v>
      </c>
      <c r="O5" s="24">
        <v>20</v>
      </c>
      <c r="P5" s="21" t="s">
        <v>138</v>
      </c>
      <c r="Q5" s="21" t="s">
        <v>153</v>
      </c>
      <c r="R5" s="24">
        <v>37</v>
      </c>
      <c r="S5" s="24">
        <v>60</v>
      </c>
      <c r="T5" s="21" t="s">
        <v>139</v>
      </c>
      <c r="U5" s="24">
        <v>5000</v>
      </c>
      <c r="V5" s="24">
        <v>20</v>
      </c>
      <c r="W5" s="26" t="s">
        <v>10</v>
      </c>
      <c r="X5" s="26" t="s">
        <v>10</v>
      </c>
      <c r="Y5" s="26" t="s">
        <v>10</v>
      </c>
      <c r="Z5" s="26" t="s">
        <v>154</v>
      </c>
      <c r="AA5" s="26" t="s">
        <v>10</v>
      </c>
      <c r="AB5" s="25" t="s">
        <v>140</v>
      </c>
      <c r="AC5" s="26" t="s">
        <v>10</v>
      </c>
      <c r="AD5" s="27" t="s">
        <v>155</v>
      </c>
      <c r="AE5" s="28">
        <v>1</v>
      </c>
      <c r="AF5" s="28"/>
      <c r="AG5" s="28"/>
      <c r="AH5" s="28"/>
      <c r="AI5" s="28" t="s">
        <v>142</v>
      </c>
      <c r="AJ5" s="28"/>
      <c r="AK5" s="28"/>
      <c r="AL5" s="28"/>
      <c r="AM5" s="28"/>
      <c r="AN5" s="28"/>
      <c r="AO5" s="28"/>
      <c r="AP5" s="28"/>
      <c r="AQ5" s="28"/>
      <c r="AR5" s="28"/>
      <c r="AS5" s="28"/>
      <c r="AT5" s="28"/>
      <c r="AU5" s="28"/>
      <c r="AV5" s="29" t="s">
        <v>10</v>
      </c>
      <c r="AW5" s="30" t="s">
        <v>143</v>
      </c>
      <c r="AX5" s="30" t="s">
        <v>144</v>
      </c>
      <c r="AY5" s="29" t="s">
        <v>10</v>
      </c>
      <c r="AZ5" s="29"/>
      <c r="BA5" s="29">
        <v>1</v>
      </c>
      <c r="BB5" s="29">
        <v>20</v>
      </c>
      <c r="BC5" s="31" t="s">
        <v>145</v>
      </c>
      <c r="BD5" s="31" t="s">
        <v>146</v>
      </c>
      <c r="BE5" s="31"/>
      <c r="BF5" s="31"/>
      <c r="BG5" s="31" t="s">
        <v>147</v>
      </c>
    </row>
    <row r="6" spans="1:59" ht="30" customHeight="1">
      <c r="A6" s="20" t="s">
        <v>511</v>
      </c>
      <c r="B6" s="24"/>
      <c r="C6" s="21" t="s">
        <v>16</v>
      </c>
      <c r="D6" s="22" t="s">
        <v>17</v>
      </c>
      <c r="E6" s="23" t="s">
        <v>156</v>
      </c>
      <c r="F6" s="22" t="s">
        <v>157</v>
      </c>
      <c r="G6" s="22" t="s">
        <v>158</v>
      </c>
      <c r="H6" s="23" t="s">
        <v>159</v>
      </c>
      <c r="I6" s="23" t="s">
        <v>513</v>
      </c>
      <c r="J6" s="24">
        <v>29</v>
      </c>
      <c r="K6" s="21" t="s">
        <v>160</v>
      </c>
      <c r="L6" s="21" t="s">
        <v>161</v>
      </c>
      <c r="M6" s="24">
        <v>37</v>
      </c>
      <c r="N6" s="24">
        <v>47</v>
      </c>
      <c r="O6" s="24">
        <v>26</v>
      </c>
      <c r="P6" s="21" t="s">
        <v>162</v>
      </c>
      <c r="Q6" s="21" t="s">
        <v>163</v>
      </c>
      <c r="R6" s="24">
        <v>37</v>
      </c>
      <c r="S6" s="24">
        <v>48</v>
      </c>
      <c r="T6" s="21" t="s">
        <v>139</v>
      </c>
      <c r="U6" s="24">
        <v>2000</v>
      </c>
      <c r="V6" s="24">
        <v>9</v>
      </c>
      <c r="W6" s="26" t="s">
        <v>10</v>
      </c>
      <c r="X6" s="26" t="s">
        <v>10</v>
      </c>
      <c r="Y6" s="33" t="s">
        <v>164</v>
      </c>
      <c r="Z6" s="26" t="s">
        <v>154</v>
      </c>
      <c r="AA6" s="26" t="s">
        <v>10</v>
      </c>
      <c r="AB6" s="26" t="s">
        <v>10</v>
      </c>
      <c r="AC6" s="26" t="s">
        <v>10</v>
      </c>
      <c r="AD6" s="27" t="s">
        <v>155</v>
      </c>
      <c r="AE6" s="28">
        <v>1</v>
      </c>
      <c r="AF6" s="28"/>
      <c r="AG6" s="28"/>
      <c r="AH6" s="28"/>
      <c r="AI6" s="28" t="s">
        <v>142</v>
      </c>
      <c r="AJ6" s="28"/>
      <c r="AK6" s="28"/>
      <c r="AL6" s="28"/>
      <c r="AM6" s="28"/>
      <c r="AN6" s="28"/>
      <c r="AO6" s="28"/>
      <c r="AP6" s="28"/>
      <c r="AQ6" s="28"/>
      <c r="AR6" s="28"/>
      <c r="AS6" s="28"/>
      <c r="AT6" s="28"/>
      <c r="AU6" s="28"/>
      <c r="AV6" s="29" t="s">
        <v>10</v>
      </c>
      <c r="AW6" s="30" t="s">
        <v>143</v>
      </c>
      <c r="AX6" s="30" t="s">
        <v>144</v>
      </c>
      <c r="AY6" s="29" t="s">
        <v>10</v>
      </c>
      <c r="AZ6" s="29"/>
      <c r="BA6" s="29">
        <v>1</v>
      </c>
      <c r="BB6" s="29">
        <v>9</v>
      </c>
      <c r="BC6" s="31" t="s">
        <v>145</v>
      </c>
      <c r="BD6" s="31" t="s">
        <v>146</v>
      </c>
      <c r="BE6" s="31"/>
      <c r="BF6" s="31"/>
      <c r="BG6" s="31" t="s">
        <v>147</v>
      </c>
    </row>
    <row r="7" spans="1:59" ht="30" customHeight="1">
      <c r="A7" s="20" t="s">
        <v>511</v>
      </c>
      <c r="B7" s="34"/>
      <c r="C7" s="34" t="s">
        <v>19</v>
      </c>
      <c r="D7" s="105" t="s">
        <v>518</v>
      </c>
      <c r="E7" s="36" t="s">
        <v>165</v>
      </c>
      <c r="F7" s="35" t="s">
        <v>166</v>
      </c>
      <c r="G7" s="104" t="s">
        <v>517</v>
      </c>
      <c r="H7" s="36" t="s">
        <v>167</v>
      </c>
      <c r="I7" s="23" t="s">
        <v>513</v>
      </c>
      <c r="J7" s="34">
        <v>22</v>
      </c>
      <c r="K7" s="34" t="s">
        <v>136</v>
      </c>
      <c r="L7" s="34" t="s">
        <v>137</v>
      </c>
      <c r="M7" s="34">
        <v>27</v>
      </c>
      <c r="N7" s="34">
        <v>36</v>
      </c>
      <c r="O7" s="34">
        <v>21</v>
      </c>
      <c r="P7" s="34" t="s">
        <v>137</v>
      </c>
      <c r="Q7" s="34" t="s">
        <v>138</v>
      </c>
      <c r="R7" s="34">
        <v>28</v>
      </c>
      <c r="S7" s="34">
        <v>39</v>
      </c>
      <c r="T7" s="34" t="s">
        <v>139</v>
      </c>
      <c r="U7" s="34">
        <v>4000</v>
      </c>
      <c r="V7" s="34">
        <v>27</v>
      </c>
      <c r="W7" s="37" t="s">
        <v>140</v>
      </c>
      <c r="X7" s="37" t="s">
        <v>10</v>
      </c>
      <c r="Y7" s="37" t="s">
        <v>168</v>
      </c>
      <c r="Z7" s="37" t="s">
        <v>154</v>
      </c>
      <c r="AA7" s="87" t="s">
        <v>512</v>
      </c>
      <c r="AB7" s="88"/>
      <c r="AC7" s="37" t="s">
        <v>140</v>
      </c>
      <c r="AD7" s="38"/>
      <c r="AE7" s="28">
        <v>2</v>
      </c>
      <c r="AF7" s="28" t="s">
        <v>13</v>
      </c>
      <c r="AG7" s="28" t="s">
        <v>148</v>
      </c>
      <c r="AH7" s="39" t="s">
        <v>149</v>
      </c>
      <c r="AI7" s="28" t="s">
        <v>169</v>
      </c>
      <c r="AJ7" s="28" t="s">
        <v>142</v>
      </c>
      <c r="AK7" s="28">
        <v>5000</v>
      </c>
      <c r="AL7" s="28">
        <v>26</v>
      </c>
      <c r="AM7" s="28" t="s">
        <v>162</v>
      </c>
      <c r="AN7" s="28" t="s">
        <v>163</v>
      </c>
      <c r="AO7" s="28">
        <v>41</v>
      </c>
      <c r="AP7" s="28">
        <v>63</v>
      </c>
      <c r="AQ7" s="28">
        <v>22</v>
      </c>
      <c r="AR7" s="28" t="s">
        <v>136</v>
      </c>
      <c r="AS7" s="28" t="s">
        <v>137</v>
      </c>
      <c r="AT7" s="28">
        <v>41</v>
      </c>
      <c r="AU7" s="28">
        <v>63</v>
      </c>
      <c r="AV7" s="29" t="s">
        <v>10</v>
      </c>
      <c r="AW7" s="30" t="s">
        <v>143</v>
      </c>
      <c r="AX7" s="30" t="s">
        <v>144</v>
      </c>
      <c r="AY7" s="29" t="s">
        <v>10</v>
      </c>
      <c r="AZ7" s="29"/>
      <c r="BA7" s="29">
        <v>1</v>
      </c>
      <c r="BB7" s="29">
        <v>27</v>
      </c>
      <c r="BC7" s="31" t="s">
        <v>170</v>
      </c>
      <c r="BD7" s="31" t="s">
        <v>146</v>
      </c>
      <c r="BE7" s="40" t="s">
        <v>171</v>
      </c>
      <c r="BF7" s="31" t="s">
        <v>172</v>
      </c>
      <c r="BG7" s="31" t="s">
        <v>147</v>
      </c>
    </row>
    <row r="8" spans="1:59" ht="30" customHeight="1">
      <c r="A8" s="20" t="s">
        <v>511</v>
      </c>
      <c r="B8" s="24"/>
      <c r="C8" s="21" t="s">
        <v>22</v>
      </c>
      <c r="D8" s="22" t="s">
        <v>23</v>
      </c>
      <c r="E8" s="23" t="s">
        <v>173</v>
      </c>
      <c r="F8" s="22" t="s">
        <v>174</v>
      </c>
      <c r="G8" s="22" t="s">
        <v>175</v>
      </c>
      <c r="H8" s="23" t="s">
        <v>176</v>
      </c>
      <c r="I8" s="23" t="s">
        <v>513</v>
      </c>
      <c r="J8" s="24">
        <v>25</v>
      </c>
      <c r="K8" s="21" t="s">
        <v>163</v>
      </c>
      <c r="L8" s="21" t="s">
        <v>152</v>
      </c>
      <c r="M8" s="24">
        <v>24</v>
      </c>
      <c r="N8" s="24">
        <v>52</v>
      </c>
      <c r="O8" s="24">
        <v>23</v>
      </c>
      <c r="P8" s="21" t="s">
        <v>135</v>
      </c>
      <c r="Q8" s="21" t="s">
        <v>136</v>
      </c>
      <c r="R8" s="24">
        <v>21</v>
      </c>
      <c r="S8" s="24">
        <v>49</v>
      </c>
      <c r="T8" s="21" t="s">
        <v>139</v>
      </c>
      <c r="U8" s="24">
        <v>3000</v>
      </c>
      <c r="V8" s="24">
        <v>25</v>
      </c>
      <c r="W8" s="26" t="s">
        <v>10</v>
      </c>
      <c r="X8" s="26" t="s">
        <v>10</v>
      </c>
      <c r="Y8" s="26" t="s">
        <v>10</v>
      </c>
      <c r="Z8" s="26" t="s">
        <v>154</v>
      </c>
      <c r="AA8" s="26" t="s">
        <v>10</v>
      </c>
      <c r="AB8" s="25" t="s">
        <v>140</v>
      </c>
      <c r="AC8" s="26" t="s">
        <v>10</v>
      </c>
      <c r="AD8" s="27" t="s">
        <v>155</v>
      </c>
      <c r="AE8" s="28">
        <v>1</v>
      </c>
      <c r="AF8" s="41"/>
      <c r="AG8" s="41"/>
      <c r="AH8" s="41"/>
      <c r="AI8" s="28" t="s">
        <v>142</v>
      </c>
      <c r="AJ8" s="41"/>
      <c r="AK8" s="41"/>
      <c r="AL8" s="41"/>
      <c r="AM8" s="41"/>
      <c r="AN8" s="41"/>
      <c r="AO8" s="41"/>
      <c r="AP8" s="41"/>
      <c r="AQ8" s="41"/>
      <c r="AR8" s="41"/>
      <c r="AS8" s="41"/>
      <c r="AT8" s="41"/>
      <c r="AU8" s="41"/>
      <c r="AV8" s="29" t="s">
        <v>10</v>
      </c>
      <c r="AW8" s="30" t="s">
        <v>143</v>
      </c>
      <c r="AX8" s="30" t="s">
        <v>144</v>
      </c>
      <c r="AY8" s="29" t="s">
        <v>10</v>
      </c>
      <c r="AZ8" s="29"/>
      <c r="BA8" s="29">
        <v>1</v>
      </c>
      <c r="BB8" s="29">
        <v>25</v>
      </c>
      <c r="BC8" s="31" t="s">
        <v>145</v>
      </c>
      <c r="BD8" s="31" t="s">
        <v>146</v>
      </c>
      <c r="BE8" s="31"/>
      <c r="BF8" s="31"/>
      <c r="BG8" s="31" t="s">
        <v>147</v>
      </c>
    </row>
    <row r="9" spans="1:59" ht="30" customHeight="1">
      <c r="A9" s="20" t="s">
        <v>511</v>
      </c>
      <c r="B9" s="21"/>
      <c r="C9" s="21" t="s">
        <v>25</v>
      </c>
      <c r="D9" s="22" t="s">
        <v>26</v>
      </c>
      <c r="E9" s="23" t="s">
        <v>177</v>
      </c>
      <c r="F9" s="22" t="s">
        <v>178</v>
      </c>
      <c r="G9" s="32" t="s">
        <v>179</v>
      </c>
      <c r="H9" s="23" t="s">
        <v>180</v>
      </c>
      <c r="I9" s="23" t="s">
        <v>513</v>
      </c>
      <c r="J9" s="24">
        <v>23</v>
      </c>
      <c r="K9" s="21" t="s">
        <v>135</v>
      </c>
      <c r="L9" s="21" t="s">
        <v>136</v>
      </c>
      <c r="M9" s="24">
        <v>37</v>
      </c>
      <c r="N9" s="24">
        <v>58</v>
      </c>
      <c r="O9" s="24">
        <v>23</v>
      </c>
      <c r="P9" s="21" t="s">
        <v>135</v>
      </c>
      <c r="Q9" s="21" t="s">
        <v>136</v>
      </c>
      <c r="R9" s="24">
        <v>37</v>
      </c>
      <c r="S9" s="24">
        <v>60</v>
      </c>
      <c r="T9" s="21" t="s">
        <v>139</v>
      </c>
      <c r="U9" s="24">
        <v>3000</v>
      </c>
      <c r="V9" s="24">
        <v>18</v>
      </c>
      <c r="W9" s="25" t="s">
        <v>140</v>
      </c>
      <c r="X9" s="25" t="s">
        <v>140</v>
      </c>
      <c r="Y9" s="25" t="s">
        <v>140</v>
      </c>
      <c r="Z9" s="25" t="s">
        <v>181</v>
      </c>
      <c r="AA9" s="26" t="s">
        <v>10</v>
      </c>
      <c r="AB9" s="25" t="s">
        <v>140</v>
      </c>
      <c r="AC9" s="25" t="s">
        <v>140</v>
      </c>
      <c r="AD9" s="27"/>
      <c r="AE9" s="28">
        <v>1</v>
      </c>
      <c r="AF9" s="28"/>
      <c r="AG9" s="28"/>
      <c r="AH9" s="28"/>
      <c r="AI9" s="28" t="s">
        <v>142</v>
      </c>
      <c r="AJ9" s="28"/>
      <c r="AK9" s="28"/>
      <c r="AL9" s="28"/>
      <c r="AM9" s="28"/>
      <c r="AN9" s="28"/>
      <c r="AO9" s="28"/>
      <c r="AP9" s="28"/>
      <c r="AQ9" s="28"/>
      <c r="AR9" s="28"/>
      <c r="AS9" s="28"/>
      <c r="AT9" s="28"/>
      <c r="AU9" s="28"/>
      <c r="AV9" s="29" t="s">
        <v>10</v>
      </c>
      <c r="AW9" s="30" t="s">
        <v>143</v>
      </c>
      <c r="AX9" s="30" t="s">
        <v>144</v>
      </c>
      <c r="AY9" s="29" t="s">
        <v>10</v>
      </c>
      <c r="AZ9" s="29"/>
      <c r="BA9" s="29">
        <v>1</v>
      </c>
      <c r="BB9" s="29">
        <v>18</v>
      </c>
      <c r="BC9" s="31" t="s">
        <v>145</v>
      </c>
      <c r="BD9" s="31" t="s">
        <v>146</v>
      </c>
      <c r="BE9" s="31"/>
      <c r="BF9" s="31"/>
      <c r="BG9" s="31" t="s">
        <v>147</v>
      </c>
    </row>
    <row r="10" spans="1:59" ht="30" customHeight="1">
      <c r="A10" s="20" t="s">
        <v>511</v>
      </c>
      <c r="B10" s="21"/>
      <c r="C10" s="21" t="s">
        <v>28</v>
      </c>
      <c r="D10" s="22" t="s">
        <v>29</v>
      </c>
      <c r="E10" s="23" t="s">
        <v>182</v>
      </c>
      <c r="F10" s="22" t="s">
        <v>183</v>
      </c>
      <c r="G10" s="32" t="s">
        <v>184</v>
      </c>
      <c r="H10" s="23" t="s">
        <v>185</v>
      </c>
      <c r="I10" s="23" t="s">
        <v>513</v>
      </c>
      <c r="J10" s="24">
        <v>23</v>
      </c>
      <c r="K10" s="21" t="s">
        <v>135</v>
      </c>
      <c r="L10" s="21" t="s">
        <v>136</v>
      </c>
      <c r="M10" s="24">
        <v>29</v>
      </c>
      <c r="N10" s="24">
        <v>50</v>
      </c>
      <c r="O10" s="24">
        <v>20</v>
      </c>
      <c r="P10" s="21" t="s">
        <v>138</v>
      </c>
      <c r="Q10" s="21" t="s">
        <v>153</v>
      </c>
      <c r="R10" s="24">
        <v>32</v>
      </c>
      <c r="S10" s="24">
        <v>54</v>
      </c>
      <c r="T10" s="21" t="s">
        <v>139</v>
      </c>
      <c r="U10" s="24">
        <v>4000</v>
      </c>
      <c r="V10" s="24">
        <v>19</v>
      </c>
      <c r="W10" s="25" t="s">
        <v>140</v>
      </c>
      <c r="X10" s="25" t="s">
        <v>140</v>
      </c>
      <c r="Y10" s="25" t="s">
        <v>140</v>
      </c>
      <c r="Z10" s="25" t="s">
        <v>181</v>
      </c>
      <c r="AA10" s="26" t="s">
        <v>10</v>
      </c>
      <c r="AB10" s="25" t="s">
        <v>140</v>
      </c>
      <c r="AC10" s="25" t="s">
        <v>140</v>
      </c>
      <c r="AD10" s="27"/>
      <c r="AE10" s="28">
        <v>1</v>
      </c>
      <c r="AF10" s="28"/>
      <c r="AG10" s="28"/>
      <c r="AH10" s="28"/>
      <c r="AI10" s="28" t="s">
        <v>142</v>
      </c>
      <c r="AJ10" s="28"/>
      <c r="AK10" s="28"/>
      <c r="AL10" s="28"/>
      <c r="AM10" s="28"/>
      <c r="AN10" s="28"/>
      <c r="AO10" s="28"/>
      <c r="AP10" s="28"/>
      <c r="AQ10" s="28"/>
      <c r="AR10" s="28"/>
      <c r="AS10" s="28"/>
      <c r="AT10" s="28"/>
      <c r="AU10" s="28"/>
      <c r="AV10" s="29" t="s">
        <v>10</v>
      </c>
      <c r="AW10" s="30" t="s">
        <v>143</v>
      </c>
      <c r="AX10" s="30" t="s">
        <v>144</v>
      </c>
      <c r="AY10" s="29" t="s">
        <v>10</v>
      </c>
      <c r="AZ10" s="29"/>
      <c r="BA10" s="29">
        <v>1</v>
      </c>
      <c r="BB10" s="29">
        <v>19</v>
      </c>
      <c r="BC10" s="31" t="s">
        <v>145</v>
      </c>
      <c r="BD10" s="31" t="s">
        <v>146</v>
      </c>
      <c r="BE10" s="31"/>
      <c r="BF10" s="31"/>
      <c r="BG10" s="31" t="s">
        <v>147</v>
      </c>
    </row>
    <row r="11" spans="1:59" ht="30" customHeight="1">
      <c r="A11" s="20" t="s">
        <v>511</v>
      </c>
      <c r="B11" s="21"/>
      <c r="C11" s="21" t="s">
        <v>31</v>
      </c>
      <c r="D11" s="22" t="s">
        <v>32</v>
      </c>
      <c r="E11" s="23" t="s">
        <v>186</v>
      </c>
      <c r="F11" s="32" t="s">
        <v>187</v>
      </c>
      <c r="G11" s="32" t="s">
        <v>188</v>
      </c>
      <c r="H11" s="23" t="s">
        <v>189</v>
      </c>
      <c r="I11" s="23" t="s">
        <v>513</v>
      </c>
      <c r="J11" s="24">
        <v>25</v>
      </c>
      <c r="K11" s="21" t="s">
        <v>163</v>
      </c>
      <c r="L11" s="21" t="s">
        <v>152</v>
      </c>
      <c r="M11" s="24">
        <v>27</v>
      </c>
      <c r="N11" s="24">
        <v>48</v>
      </c>
      <c r="O11" s="24">
        <v>23</v>
      </c>
      <c r="P11" s="21" t="s">
        <v>135</v>
      </c>
      <c r="Q11" s="21" t="s">
        <v>136</v>
      </c>
      <c r="R11" s="24">
        <v>29</v>
      </c>
      <c r="S11" s="24">
        <v>52</v>
      </c>
      <c r="T11" s="21" t="s">
        <v>139</v>
      </c>
      <c r="U11" s="24">
        <v>2000</v>
      </c>
      <c r="V11" s="24">
        <v>16</v>
      </c>
      <c r="W11" s="25" t="s">
        <v>140</v>
      </c>
      <c r="X11" s="25" t="s">
        <v>140</v>
      </c>
      <c r="Y11" s="25" t="s">
        <v>140</v>
      </c>
      <c r="Z11" s="25" t="s">
        <v>181</v>
      </c>
      <c r="AA11" s="26" t="s">
        <v>10</v>
      </c>
      <c r="AB11" s="25" t="s">
        <v>140</v>
      </c>
      <c r="AC11" s="25" t="s">
        <v>140</v>
      </c>
      <c r="AD11" s="27"/>
      <c r="AE11" s="28">
        <v>1</v>
      </c>
      <c r="AF11" s="28"/>
      <c r="AG11" s="28"/>
      <c r="AH11" s="28"/>
      <c r="AI11" s="28" t="s">
        <v>142</v>
      </c>
      <c r="AJ11" s="28"/>
      <c r="AK11" s="28"/>
      <c r="AL11" s="28"/>
      <c r="AM11" s="28"/>
      <c r="AN11" s="28"/>
      <c r="AO11" s="28"/>
      <c r="AP11" s="28"/>
      <c r="AQ11" s="28"/>
      <c r="AR11" s="28"/>
      <c r="AS11" s="28"/>
      <c r="AT11" s="28"/>
      <c r="AU11" s="28"/>
      <c r="AV11" s="29" t="s">
        <v>10</v>
      </c>
      <c r="AW11" s="30" t="s">
        <v>143</v>
      </c>
      <c r="AX11" s="30" t="s">
        <v>144</v>
      </c>
      <c r="AY11" s="29" t="s">
        <v>190</v>
      </c>
      <c r="AZ11" s="29"/>
      <c r="BA11" s="29">
        <v>1</v>
      </c>
      <c r="BB11" s="29">
        <v>19</v>
      </c>
      <c r="BC11" s="31" t="s">
        <v>145</v>
      </c>
      <c r="BD11" s="31" t="s">
        <v>146</v>
      </c>
      <c r="BE11" s="31"/>
      <c r="BF11" s="31"/>
      <c r="BG11" s="31" t="s">
        <v>147</v>
      </c>
    </row>
    <row r="12" spans="1:59" s="44" customFormat="1" ht="30" customHeight="1">
      <c r="A12" s="20" t="s">
        <v>511</v>
      </c>
      <c r="B12" s="24"/>
      <c r="C12" s="21" t="s">
        <v>19</v>
      </c>
      <c r="D12" s="22" t="s">
        <v>33</v>
      </c>
      <c r="E12" s="23" t="s">
        <v>165</v>
      </c>
      <c r="F12" s="22" t="s">
        <v>166</v>
      </c>
      <c r="G12" s="32" t="s">
        <v>191</v>
      </c>
      <c r="H12" s="23" t="s">
        <v>192</v>
      </c>
      <c r="I12" s="23" t="s">
        <v>513</v>
      </c>
      <c r="J12" s="24"/>
      <c r="K12" s="24"/>
      <c r="L12" s="24"/>
      <c r="M12" s="24"/>
      <c r="N12" s="24"/>
      <c r="O12" s="24"/>
      <c r="P12" s="24"/>
      <c r="Q12" s="24"/>
      <c r="R12" s="24"/>
      <c r="S12" s="24"/>
      <c r="T12" s="21" t="s">
        <v>139</v>
      </c>
      <c r="U12" s="24">
        <v>4000</v>
      </c>
      <c r="V12" s="24">
        <v>18</v>
      </c>
      <c r="W12" s="25" t="s">
        <v>140</v>
      </c>
      <c r="X12" s="25" t="s">
        <v>140</v>
      </c>
      <c r="Y12" s="25" t="s">
        <v>168</v>
      </c>
      <c r="Z12" s="25" t="s">
        <v>154</v>
      </c>
      <c r="AA12" s="26" t="s">
        <v>10</v>
      </c>
      <c r="AB12" s="25" t="s">
        <v>164</v>
      </c>
      <c r="AC12" s="25" t="s">
        <v>10</v>
      </c>
      <c r="AD12" s="27" t="s">
        <v>193</v>
      </c>
      <c r="AE12" s="42">
        <v>2</v>
      </c>
      <c r="AF12" s="42" t="s">
        <v>13</v>
      </c>
      <c r="AG12" s="42" t="s">
        <v>148</v>
      </c>
      <c r="AH12" s="43" t="s">
        <v>149</v>
      </c>
      <c r="AI12" s="42" t="s">
        <v>194</v>
      </c>
      <c r="AJ12" s="42" t="s">
        <v>142</v>
      </c>
      <c r="AK12" s="42">
        <v>5000</v>
      </c>
      <c r="AL12" s="42">
        <v>28</v>
      </c>
      <c r="AM12" s="42" t="s">
        <v>161</v>
      </c>
      <c r="AN12" s="42" t="s">
        <v>195</v>
      </c>
      <c r="AO12" s="42">
        <v>41</v>
      </c>
      <c r="AP12" s="42">
        <v>61</v>
      </c>
      <c r="AQ12" s="42">
        <v>30</v>
      </c>
      <c r="AR12" s="42" t="s">
        <v>196</v>
      </c>
      <c r="AS12" s="42" t="s">
        <v>160</v>
      </c>
      <c r="AT12" s="42">
        <v>41</v>
      </c>
      <c r="AU12" s="42">
        <v>61</v>
      </c>
      <c r="AV12" s="29"/>
      <c r="AW12" s="30"/>
      <c r="AX12" s="30"/>
      <c r="AY12" s="29" t="s">
        <v>34</v>
      </c>
      <c r="AZ12" s="29"/>
      <c r="BA12" s="29">
        <v>1</v>
      </c>
      <c r="BB12" s="29">
        <v>18</v>
      </c>
      <c r="BC12" s="31"/>
      <c r="BD12" s="31"/>
      <c r="BE12" s="31" t="s">
        <v>145</v>
      </c>
      <c r="BF12" s="31" t="s">
        <v>197</v>
      </c>
      <c r="BG12" s="31" t="s">
        <v>147</v>
      </c>
    </row>
  </sheetData>
  <mergeCells count="11">
    <mergeCell ref="A1:G1"/>
    <mergeCell ref="S2:U2"/>
    <mergeCell ref="AU2:AW2"/>
    <mergeCell ref="AB2:AC2"/>
    <mergeCell ref="N2:R2"/>
    <mergeCell ref="A2:G2"/>
    <mergeCell ref="AP2:AT2"/>
    <mergeCell ref="AK2:AO2"/>
    <mergeCell ref="H2:M2"/>
    <mergeCell ref="V2:AA2"/>
    <mergeCell ref="AD2:AJ2"/>
  </mergeCells>
  <phoneticPr fontId="2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960C-E3CB-48E0-A1E4-26DC27C5FB97}">
  <dimension ref="A1:C13"/>
  <sheetViews>
    <sheetView workbookViewId="0">
      <selection activeCell="A3" sqref="A3"/>
    </sheetView>
  </sheetViews>
  <sheetFormatPr defaultColWidth="8.5" defaultRowHeight="13.5"/>
  <cols>
    <col min="1" max="2" width="16" style="108" customWidth="1"/>
    <col min="3" max="3" width="23.5" style="108" customWidth="1"/>
  </cols>
  <sheetData>
    <row r="1" spans="1:3" ht="19.5" customHeight="1">
      <c r="A1" s="101" t="s">
        <v>4</v>
      </c>
      <c r="B1" s="102" t="s">
        <v>514</v>
      </c>
      <c r="C1" s="102" t="s">
        <v>515</v>
      </c>
    </row>
    <row r="2" spans="1:3" ht="16.5" customHeight="1">
      <c r="A2" s="106" t="s">
        <v>20</v>
      </c>
      <c r="B2" s="103">
        <v>18</v>
      </c>
      <c r="C2" s="103" t="s">
        <v>516</v>
      </c>
    </row>
    <row r="3" spans="1:3" ht="16.5" customHeight="1">
      <c r="A3" s="107"/>
      <c r="B3" s="103"/>
      <c r="C3" s="103"/>
    </row>
    <row r="4" spans="1:3" ht="16.5" customHeight="1">
      <c r="A4" s="107"/>
      <c r="B4" s="103"/>
      <c r="C4" s="103"/>
    </row>
    <row r="5" spans="1:3" ht="16.5" customHeight="1">
      <c r="A5" s="107"/>
      <c r="B5" s="103"/>
      <c r="C5" s="103"/>
    </row>
    <row r="6" spans="1:3" ht="16.5" customHeight="1">
      <c r="A6" s="107"/>
      <c r="B6" s="103"/>
      <c r="C6" s="103"/>
    </row>
    <row r="7" spans="1:3" ht="16.5" customHeight="1">
      <c r="A7" s="107"/>
      <c r="B7" s="103"/>
      <c r="C7" s="103"/>
    </row>
    <row r="8" spans="1:3" ht="16.5" customHeight="1">
      <c r="A8" s="107"/>
      <c r="B8" s="103"/>
      <c r="C8" s="103"/>
    </row>
    <row r="9" spans="1:3" ht="16.5" customHeight="1">
      <c r="A9" s="107"/>
      <c r="B9" s="103"/>
      <c r="C9" s="103"/>
    </row>
    <row r="10" spans="1:3" ht="16.5" customHeight="1">
      <c r="A10" s="107"/>
      <c r="B10" s="103"/>
      <c r="C10" s="103"/>
    </row>
    <row r="11" spans="1:3" ht="16.5" customHeight="1">
      <c r="A11" s="107"/>
      <c r="B11" s="103"/>
      <c r="C11" s="103"/>
    </row>
    <row r="12" spans="1:3" ht="16.5" customHeight="1">
      <c r="A12" s="107"/>
      <c r="B12" s="103"/>
      <c r="C12" s="103"/>
    </row>
    <row r="13" spans="1:3" ht="16.5" customHeight="1">
      <c r="A13" s="107"/>
      <c r="B13" s="103"/>
      <c r="C13" s="103"/>
    </row>
  </sheetData>
  <phoneticPr fontId="2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1"/>
  <sheetViews>
    <sheetView workbookViewId="0"/>
  </sheetViews>
  <sheetFormatPr defaultColWidth="8.5" defaultRowHeight="13.5"/>
  <cols>
    <col min="1" max="1" width="18" customWidth="1"/>
    <col min="2" max="3" width="10" customWidth="1"/>
    <col min="4" max="4" width="16" customWidth="1"/>
    <col min="5" max="5" width="14" customWidth="1"/>
    <col min="6" max="6" width="12" customWidth="1"/>
    <col min="7" max="7" width="10" customWidth="1"/>
    <col min="8" max="8" width="16" customWidth="1"/>
    <col min="9" max="9" width="12" customWidth="1"/>
    <col min="10" max="10" width="10" customWidth="1"/>
    <col min="11" max="11" width="78.5" customWidth="1"/>
    <col min="12" max="12" width="18" customWidth="1"/>
  </cols>
  <sheetData>
    <row r="1" spans="1:12" ht="30" customHeight="1">
      <c r="A1" s="19" t="s">
        <v>4</v>
      </c>
      <c r="B1" s="19" t="s">
        <v>198</v>
      </c>
      <c r="C1" s="19" t="s">
        <v>199</v>
      </c>
      <c r="D1" s="19" t="s">
        <v>200</v>
      </c>
      <c r="E1" s="19" t="s">
        <v>201</v>
      </c>
      <c r="F1" s="19" t="s">
        <v>202</v>
      </c>
      <c r="G1" s="19" t="s">
        <v>203</v>
      </c>
      <c r="H1" s="19" t="s">
        <v>204</v>
      </c>
      <c r="I1" s="19" t="s">
        <v>205</v>
      </c>
      <c r="J1" s="19" t="s">
        <v>206</v>
      </c>
      <c r="K1" s="19" t="s">
        <v>207</v>
      </c>
      <c r="L1" s="19" t="s">
        <v>208</v>
      </c>
    </row>
    <row r="2" spans="1:12" ht="14.25" customHeight="1">
      <c r="A2" s="45" t="str">
        <f>拠点別設定値!D4</f>
        <v>札幌</v>
      </c>
      <c r="B2" s="45" t="s">
        <v>145</v>
      </c>
      <c r="C2" s="45" t="s">
        <v>209</v>
      </c>
      <c r="D2" s="45" t="str">
        <f>拠点別設定値!BC4</f>
        <v>欠品</v>
      </c>
      <c r="E2" s="45">
        <v>2</v>
      </c>
      <c r="F2" s="45">
        <f>拠点別設定値!J4</f>
        <v>23</v>
      </c>
      <c r="G2" s="45">
        <v>1</v>
      </c>
      <c r="H2" s="45" t="str">
        <f>拠点別設定値!K4&amp;拠点別設定値!M4&amp;":"&amp;拠点別設定値!K4&amp;拠点別設定値!N4</f>
        <v>X27:X48</v>
      </c>
      <c r="I2" s="45" t="str">
        <f>拠点別設定値!L4&amp;拠点別設定値!M4</f>
        <v>W27</v>
      </c>
      <c r="J2" s="45" t="s">
        <v>210</v>
      </c>
      <c r="K2" s="45"/>
      <c r="L2" s="45" t="str">
        <f t="shared" ref="L2:L41" si="0">IF(G2=1,"有","無")</f>
        <v>有</v>
      </c>
    </row>
    <row r="3" spans="1:12" ht="18.75" customHeight="1">
      <c r="A3" s="45" t="str">
        <f>拠点別設定値!D4</f>
        <v>札幌</v>
      </c>
      <c r="B3" s="45" t="s">
        <v>145</v>
      </c>
      <c r="C3" s="45" t="s">
        <v>209</v>
      </c>
      <c r="D3" s="45" t="str">
        <f>拠点別設定値!BC4</f>
        <v>欠品</v>
      </c>
      <c r="E3" s="45">
        <v>2</v>
      </c>
      <c r="F3" s="45">
        <f>拠点別設定値!J4</f>
        <v>23</v>
      </c>
      <c r="G3" s="45">
        <v>2</v>
      </c>
      <c r="H3" s="45" t="str">
        <f>拠点別設定値!K4&amp;(拠点別設定値!M4+1)&amp;":"&amp;拠点別設定値!K4&amp;(拠点別設定値!M4+2)</f>
        <v>X28:X29</v>
      </c>
      <c r="I3" s="45" t="str">
        <f>拠点別設定値!L4&amp;(拠点別設定値!M4+1)</f>
        <v>W28</v>
      </c>
      <c r="J3" s="45" t="s">
        <v>211</v>
      </c>
      <c r="K3" s="45" t="s">
        <v>212</v>
      </c>
      <c r="L3" s="45" t="str">
        <f t="shared" si="0"/>
        <v>無</v>
      </c>
    </row>
    <row r="4" spans="1:12" ht="14.25" customHeight="1">
      <c r="A4" s="45" t="str">
        <f>拠点別設定値!D4</f>
        <v>札幌</v>
      </c>
      <c r="B4" s="45" t="s">
        <v>146</v>
      </c>
      <c r="C4" s="45" t="s">
        <v>209</v>
      </c>
      <c r="D4" s="45" t="str">
        <f>拠点別設定値!BD4</f>
        <v>在庫額</v>
      </c>
      <c r="E4" s="45">
        <v>2</v>
      </c>
      <c r="F4" s="45">
        <f>拠点別設定値!O4</f>
        <v>21</v>
      </c>
      <c r="G4" s="45">
        <v>1</v>
      </c>
      <c r="H4" s="45" t="str">
        <f>拠点別設定値!P4&amp;拠点別設定値!R4&amp;":"&amp;拠点別設定値!P4&amp;拠点別設定値!S4</f>
        <v>V29:V52</v>
      </c>
      <c r="I4" s="45" t="str">
        <f>拠点別設定値!Q4&amp;拠点別設定値!R4</f>
        <v>U29</v>
      </c>
      <c r="J4" s="45" t="s">
        <v>210</v>
      </c>
      <c r="K4" s="45"/>
      <c r="L4" s="45" t="str">
        <f t="shared" si="0"/>
        <v>有</v>
      </c>
    </row>
    <row r="5" spans="1:12" ht="18.75" customHeight="1">
      <c r="A5" s="45" t="str">
        <f>拠点別設定値!D4</f>
        <v>札幌</v>
      </c>
      <c r="B5" s="45" t="s">
        <v>146</v>
      </c>
      <c r="C5" s="45" t="s">
        <v>209</v>
      </c>
      <c r="D5" s="45" t="str">
        <f>拠点別設定値!BD4</f>
        <v>在庫額</v>
      </c>
      <c r="E5" s="45">
        <v>2</v>
      </c>
      <c r="F5" s="45">
        <f>拠点別設定値!O4</f>
        <v>21</v>
      </c>
      <c r="G5" s="45">
        <v>2</v>
      </c>
      <c r="H5" s="45" t="str">
        <f>拠点別設定値!P4&amp;(拠点別設定値!R4+1)&amp;":"&amp;拠点別設定値!P4&amp;(拠点別設定値!R4+2)</f>
        <v>V30:V31</v>
      </c>
      <c r="I5" s="45" t="str">
        <f>拠点別設定値!Q4&amp;(拠点別設定値!R4+1)</f>
        <v>U30</v>
      </c>
      <c r="J5" s="45" t="s">
        <v>211</v>
      </c>
      <c r="K5" s="45" t="s">
        <v>212</v>
      </c>
      <c r="L5" s="45" t="str">
        <f t="shared" si="0"/>
        <v>無</v>
      </c>
    </row>
    <row r="6" spans="1:12" ht="14.25" customHeight="1">
      <c r="A6" s="45" t="str">
        <f>拠点別設定値!D5</f>
        <v>倉庫(本社)</v>
      </c>
      <c r="B6" s="45" t="s">
        <v>145</v>
      </c>
      <c r="C6" s="45" t="s">
        <v>209</v>
      </c>
      <c r="D6" s="45" t="str">
        <f>拠点別設定値!BC5</f>
        <v>欠品</v>
      </c>
      <c r="E6" s="45">
        <v>2</v>
      </c>
      <c r="F6" s="45">
        <f>拠点別設定値!J5</f>
        <v>24</v>
      </c>
      <c r="G6" s="45">
        <v>1</v>
      </c>
      <c r="H6" s="45" t="str">
        <f>拠点別設定値!K5&amp;拠点別設定値!M5&amp;":"&amp;拠点別設定値!K5&amp;拠点別設定値!N5</f>
        <v>Y37:Y58</v>
      </c>
      <c r="I6" s="45" t="str">
        <f>拠点別設定値!L5&amp;拠点別設定値!M5</f>
        <v>X37</v>
      </c>
      <c r="J6" s="45" t="s">
        <v>210</v>
      </c>
      <c r="K6" s="45"/>
      <c r="L6" s="45" t="str">
        <f t="shared" si="0"/>
        <v>有</v>
      </c>
    </row>
    <row r="7" spans="1:12" ht="18.75" customHeight="1">
      <c r="A7" s="45" t="str">
        <f>拠点別設定値!D5</f>
        <v>倉庫(本社)</v>
      </c>
      <c r="B7" s="45" t="s">
        <v>145</v>
      </c>
      <c r="C7" s="45" t="s">
        <v>209</v>
      </c>
      <c r="D7" s="45" t="str">
        <f>拠点別設定値!BC5</f>
        <v>欠品</v>
      </c>
      <c r="E7" s="45">
        <v>2</v>
      </c>
      <c r="F7" s="45">
        <f>拠点別設定値!J5</f>
        <v>24</v>
      </c>
      <c r="G7" s="45">
        <v>2</v>
      </c>
      <c r="H7" s="45" t="str">
        <f>拠点別設定値!K5&amp;(拠点別設定値!M5+1)&amp;":"&amp;拠点別設定値!K5&amp;(拠点別設定値!M5+2)</f>
        <v>Y38:Y39</v>
      </c>
      <c r="I7" s="45" t="str">
        <f>拠点別設定値!L5&amp;(拠点別設定値!M5+1)</f>
        <v>X38</v>
      </c>
      <c r="J7" s="45" t="s">
        <v>211</v>
      </c>
      <c r="K7" s="45" t="s">
        <v>212</v>
      </c>
      <c r="L7" s="45" t="str">
        <f t="shared" si="0"/>
        <v>無</v>
      </c>
    </row>
    <row r="8" spans="1:12" ht="14.25" customHeight="1">
      <c r="A8" s="45" t="str">
        <f>拠点別設定値!D5</f>
        <v>倉庫(本社)</v>
      </c>
      <c r="B8" s="45" t="s">
        <v>146</v>
      </c>
      <c r="C8" s="45" t="s">
        <v>209</v>
      </c>
      <c r="D8" s="45" t="str">
        <f>拠点別設定値!BD5</f>
        <v>在庫額</v>
      </c>
      <c r="E8" s="45">
        <v>2</v>
      </c>
      <c r="F8" s="45">
        <f>拠点別設定値!O5</f>
        <v>20</v>
      </c>
      <c r="G8" s="45">
        <v>1</v>
      </c>
      <c r="H8" s="45" t="str">
        <f>拠点別設定値!P5&amp;拠点別設定値!R5&amp;":"&amp;拠点別設定値!P5&amp;拠点別設定値!S5</f>
        <v>U37:U60</v>
      </c>
      <c r="I8" s="45" t="str">
        <f>拠点別設定値!Q5&amp;拠点別設定値!R5</f>
        <v>T37</v>
      </c>
      <c r="J8" s="45" t="s">
        <v>210</v>
      </c>
      <c r="K8" s="45"/>
      <c r="L8" s="45" t="str">
        <f t="shared" si="0"/>
        <v>有</v>
      </c>
    </row>
    <row r="9" spans="1:12" ht="18.75" customHeight="1">
      <c r="A9" s="45" t="str">
        <f>拠点別設定値!D5</f>
        <v>倉庫(本社)</v>
      </c>
      <c r="B9" s="45" t="s">
        <v>146</v>
      </c>
      <c r="C9" s="45" t="s">
        <v>209</v>
      </c>
      <c r="D9" s="45" t="str">
        <f>拠点別設定値!BD5</f>
        <v>在庫額</v>
      </c>
      <c r="E9" s="45">
        <v>2</v>
      </c>
      <c r="F9" s="45">
        <f>拠点別設定値!O5</f>
        <v>20</v>
      </c>
      <c r="G9" s="45">
        <v>2</v>
      </c>
      <c r="H9" s="45" t="str">
        <f>拠点別設定値!P5&amp;(拠点別設定値!R5+1)&amp;":"&amp;拠点別設定値!P5&amp;(拠点別設定値!R5+2)</f>
        <v>U38:U39</v>
      </c>
      <c r="I9" s="45" t="str">
        <f>拠点別設定値!Q5&amp;(拠点別設定値!R5+1)</f>
        <v>T38</v>
      </c>
      <c r="J9" s="45" t="s">
        <v>211</v>
      </c>
      <c r="K9" s="45" t="s">
        <v>212</v>
      </c>
      <c r="L9" s="45" t="str">
        <f t="shared" si="0"/>
        <v>無</v>
      </c>
    </row>
    <row r="10" spans="1:12" ht="14.25" customHeight="1">
      <c r="A10" s="45" t="str">
        <f>拠点別設定値!D6</f>
        <v>製造(大型)</v>
      </c>
      <c r="B10" s="45" t="s">
        <v>145</v>
      </c>
      <c r="C10" s="45" t="s">
        <v>209</v>
      </c>
      <c r="D10" s="45" t="str">
        <f>拠点別設定値!BC6</f>
        <v>欠品</v>
      </c>
      <c r="E10" s="45">
        <v>2</v>
      </c>
      <c r="F10" s="45">
        <f>拠点別設定値!J6</f>
        <v>29</v>
      </c>
      <c r="G10" s="45">
        <v>1</v>
      </c>
      <c r="H10" s="45" t="str">
        <f>拠点別設定値!K6&amp;拠点別設定値!M6&amp;":"&amp;拠点別設定値!K6&amp;拠点別設定値!N6</f>
        <v>AD37:AD47</v>
      </c>
      <c r="I10" s="45" t="str">
        <f>拠点別設定値!L6&amp;拠点別設定値!M6</f>
        <v>AC37</v>
      </c>
      <c r="J10" s="45" t="s">
        <v>210</v>
      </c>
      <c r="K10" s="45"/>
      <c r="L10" s="45" t="str">
        <f t="shared" si="0"/>
        <v>有</v>
      </c>
    </row>
    <row r="11" spans="1:12" ht="18.75" customHeight="1">
      <c r="A11" s="45" t="str">
        <f>拠点別設定値!D6</f>
        <v>製造(大型)</v>
      </c>
      <c r="B11" s="45" t="s">
        <v>145</v>
      </c>
      <c r="C11" s="45" t="s">
        <v>209</v>
      </c>
      <c r="D11" s="45" t="str">
        <f>拠点別設定値!BC6</f>
        <v>欠品</v>
      </c>
      <c r="E11" s="45">
        <v>2</v>
      </c>
      <c r="F11" s="45">
        <f>拠点別設定値!J6</f>
        <v>29</v>
      </c>
      <c r="G11" s="45">
        <v>2</v>
      </c>
      <c r="H11" s="45" t="str">
        <f>拠点別設定値!K6&amp;(拠点別設定値!M6+1)&amp;":"&amp;拠点別設定値!K6&amp;(拠点別設定値!M6+2)</f>
        <v>AD38:AD39</v>
      </c>
      <c r="I11" s="45" t="str">
        <f>拠点別設定値!L6&amp;(拠点別設定値!M6+1)</f>
        <v>AC38</v>
      </c>
      <c r="J11" s="45" t="s">
        <v>211</v>
      </c>
      <c r="K11" s="45" t="s">
        <v>212</v>
      </c>
      <c r="L11" s="45" t="str">
        <f t="shared" si="0"/>
        <v>無</v>
      </c>
    </row>
    <row r="12" spans="1:12" ht="14.25" customHeight="1">
      <c r="A12" s="45" t="str">
        <f>拠点別設定値!D6</f>
        <v>製造(大型)</v>
      </c>
      <c r="B12" s="45" t="s">
        <v>146</v>
      </c>
      <c r="C12" s="45" t="s">
        <v>209</v>
      </c>
      <c r="D12" s="45" t="str">
        <f>拠点別設定値!BD6</f>
        <v>在庫額</v>
      </c>
      <c r="E12" s="45">
        <v>2</v>
      </c>
      <c r="F12" s="45">
        <f>拠点別設定値!O6</f>
        <v>26</v>
      </c>
      <c r="G12" s="45">
        <v>1</v>
      </c>
      <c r="H12" s="45" t="str">
        <f>拠点別設定値!P6&amp;拠点別設定値!R6&amp;":"&amp;拠点別設定値!P6&amp;拠点別設定値!S6</f>
        <v>AA37:AA48</v>
      </c>
      <c r="I12" s="45" t="str">
        <f>拠点別設定値!Q6&amp;拠点別設定値!R6</f>
        <v>Z37</v>
      </c>
      <c r="J12" s="45" t="s">
        <v>210</v>
      </c>
      <c r="K12" s="45"/>
      <c r="L12" s="45" t="str">
        <f t="shared" si="0"/>
        <v>有</v>
      </c>
    </row>
    <row r="13" spans="1:12" ht="18.75" customHeight="1">
      <c r="A13" s="45" t="str">
        <f>拠点別設定値!D6</f>
        <v>製造(大型)</v>
      </c>
      <c r="B13" s="45" t="s">
        <v>146</v>
      </c>
      <c r="C13" s="45" t="s">
        <v>209</v>
      </c>
      <c r="D13" s="45" t="str">
        <f>拠点別設定値!BD6</f>
        <v>在庫額</v>
      </c>
      <c r="E13" s="45">
        <v>2</v>
      </c>
      <c r="F13" s="45">
        <f>拠点別設定値!O6</f>
        <v>26</v>
      </c>
      <c r="G13" s="45">
        <v>2</v>
      </c>
      <c r="H13" s="45" t="str">
        <f>拠点別設定値!P6&amp;(拠点別設定値!R6+1)&amp;":"&amp;拠点別設定値!P6&amp;(拠点別設定値!R6+2)</f>
        <v>AA38:AA39</v>
      </c>
      <c r="I13" s="45" t="str">
        <f>拠点別設定値!Q6&amp;(拠点別設定値!R6+1)</f>
        <v>Z38</v>
      </c>
      <c r="J13" s="45" t="s">
        <v>211</v>
      </c>
      <c r="K13" s="45" t="s">
        <v>212</v>
      </c>
      <c r="L13" s="45" t="str">
        <f t="shared" si="0"/>
        <v>無</v>
      </c>
    </row>
    <row r="14" spans="1:12" ht="14.25" customHeight="1">
      <c r="A14" s="45" t="str">
        <f>拠点別設定値!D7</f>
        <v>外注鉄</v>
      </c>
      <c r="B14" s="45" t="s">
        <v>145</v>
      </c>
      <c r="C14" s="45" t="s">
        <v>209</v>
      </c>
      <c r="D14" s="45" t="str">
        <f>拠点別設定値!BC7</f>
        <v>在庫切れ</v>
      </c>
      <c r="E14" s="45">
        <v>2</v>
      </c>
      <c r="F14" s="45">
        <f>拠点別設定値!J7</f>
        <v>22</v>
      </c>
      <c r="G14" s="45">
        <v>1</v>
      </c>
      <c r="H14" s="45" t="str">
        <f>拠点別設定値!K7&amp;拠点別設定値!M7&amp;":"&amp;拠点別設定値!K7&amp;拠点別設定値!N7</f>
        <v>W27:W36</v>
      </c>
      <c r="I14" s="45" t="str">
        <f>拠点別設定値!L7&amp;拠点別設定値!M7</f>
        <v>V27</v>
      </c>
      <c r="J14" s="45" t="s">
        <v>210</v>
      </c>
      <c r="K14" s="45"/>
      <c r="L14" s="45" t="str">
        <f t="shared" si="0"/>
        <v>有</v>
      </c>
    </row>
    <row r="15" spans="1:12" ht="18.75" customHeight="1">
      <c r="A15" s="45" t="str">
        <f>拠点別設定値!D7</f>
        <v>外注鉄</v>
      </c>
      <c r="B15" s="45" t="s">
        <v>145</v>
      </c>
      <c r="C15" s="45" t="s">
        <v>209</v>
      </c>
      <c r="D15" s="45" t="str">
        <f>拠点別設定値!BC7</f>
        <v>在庫切れ</v>
      </c>
      <c r="E15" s="45">
        <v>2</v>
      </c>
      <c r="F15" s="45">
        <f>拠点別設定値!J7</f>
        <v>22</v>
      </c>
      <c r="G15" s="45">
        <v>2</v>
      </c>
      <c r="H15" s="45" t="str">
        <f>拠点別設定値!K7&amp;(拠点別設定値!M7+1)&amp;":"&amp;拠点別設定値!K7&amp;(拠点別設定値!M7+2)</f>
        <v>W28:W29</v>
      </c>
      <c r="I15" s="45" t="str">
        <f>拠点別設定値!L7&amp;(拠点別設定値!M7+1)</f>
        <v>V28</v>
      </c>
      <c r="J15" s="45" t="s">
        <v>211</v>
      </c>
      <c r="K15" s="45" t="s">
        <v>212</v>
      </c>
      <c r="L15" s="45" t="str">
        <f t="shared" si="0"/>
        <v>無</v>
      </c>
    </row>
    <row r="16" spans="1:12" ht="14.25" customHeight="1">
      <c r="A16" s="45" t="str">
        <f>拠点別設定値!D7</f>
        <v>外注鉄</v>
      </c>
      <c r="B16" s="45" t="s">
        <v>146</v>
      </c>
      <c r="C16" s="45" t="s">
        <v>209</v>
      </c>
      <c r="D16" s="45" t="str">
        <f>拠点別設定値!BD7</f>
        <v>在庫額</v>
      </c>
      <c r="E16" s="45">
        <v>2</v>
      </c>
      <c r="F16" s="45">
        <f>拠点別設定値!O7</f>
        <v>21</v>
      </c>
      <c r="G16" s="45">
        <v>1</v>
      </c>
      <c r="H16" s="45" t="str">
        <f>拠点別設定値!P7&amp;拠点別設定値!R7&amp;":"&amp;拠点別設定値!P7&amp;拠点別設定値!S7</f>
        <v>V28:V39</v>
      </c>
      <c r="I16" s="45" t="str">
        <f>拠点別設定値!Q7&amp;拠点別設定値!R7</f>
        <v>U28</v>
      </c>
      <c r="J16" s="45" t="s">
        <v>210</v>
      </c>
      <c r="K16" s="45"/>
      <c r="L16" s="45" t="str">
        <f t="shared" si="0"/>
        <v>有</v>
      </c>
    </row>
    <row r="17" spans="1:12" ht="18.75" customHeight="1">
      <c r="A17" s="45" t="str">
        <f>拠点別設定値!D7</f>
        <v>外注鉄</v>
      </c>
      <c r="B17" s="45" t="s">
        <v>146</v>
      </c>
      <c r="C17" s="45" t="s">
        <v>209</v>
      </c>
      <c r="D17" s="45" t="str">
        <f>拠点別設定値!BD7</f>
        <v>在庫額</v>
      </c>
      <c r="E17" s="45">
        <v>2</v>
      </c>
      <c r="F17" s="45">
        <f>拠点別設定値!O7</f>
        <v>21</v>
      </c>
      <c r="G17" s="45">
        <v>2</v>
      </c>
      <c r="H17" s="45" t="str">
        <f>拠点別設定値!P7&amp;(拠点別設定値!R7+1)&amp;":"&amp;拠点別設定値!P7&amp;(拠点別設定値!R7+2)</f>
        <v>V29:V30</v>
      </c>
      <c r="I17" s="45" t="str">
        <f>拠点別設定値!Q7&amp;(拠点別設定値!R7+1)</f>
        <v>U29</v>
      </c>
      <c r="J17" s="45" t="s">
        <v>211</v>
      </c>
      <c r="K17" s="45" t="s">
        <v>212</v>
      </c>
      <c r="L17" s="45" t="str">
        <f t="shared" si="0"/>
        <v>無</v>
      </c>
    </row>
    <row r="18" spans="1:12" ht="14.25" customHeight="1">
      <c r="A18" s="46" t="str">
        <f>拠点別設定値!D7</f>
        <v>外注鉄</v>
      </c>
      <c r="B18" s="46" t="s">
        <v>145</v>
      </c>
      <c r="C18" s="46" t="s">
        <v>213</v>
      </c>
      <c r="D18" s="46" t="str">
        <f>拠点別設定値!BE7</f>
        <v>欠品（色）</v>
      </c>
      <c r="E18" s="46">
        <v>2</v>
      </c>
      <c r="F18" s="46">
        <f>拠点別設定値!AL7</f>
        <v>26</v>
      </c>
      <c r="G18" s="46">
        <v>1</v>
      </c>
      <c r="H18" s="46" t="str">
        <f>拠点別設定値!AM7&amp;拠点別設定値!AO7&amp;":"&amp;拠点別設定値!AM7&amp;拠点別設定値!AP7</f>
        <v>AA41:AA63</v>
      </c>
      <c r="I18" s="46" t="str">
        <f>拠点別設定値!AN7&amp;拠点別設定値!AO7</f>
        <v>Z41</v>
      </c>
      <c r="J18" s="46" t="s">
        <v>210</v>
      </c>
      <c r="K18" s="46"/>
      <c r="L18" s="46" t="str">
        <f t="shared" si="0"/>
        <v>有</v>
      </c>
    </row>
    <row r="19" spans="1:12" ht="18.75" customHeight="1">
      <c r="A19" s="46" t="str">
        <f>拠点別設定値!D7</f>
        <v>外注鉄</v>
      </c>
      <c r="B19" s="46" t="s">
        <v>145</v>
      </c>
      <c r="C19" s="46" t="s">
        <v>213</v>
      </c>
      <c r="D19" s="46" t="str">
        <f>拠点別設定値!BE7</f>
        <v>欠品（色）</v>
      </c>
      <c r="E19" s="46">
        <v>2</v>
      </c>
      <c r="F19" s="46">
        <f>拠点別設定値!AL7</f>
        <v>26</v>
      </c>
      <c r="G19" s="46">
        <v>2</v>
      </c>
      <c r="H19" s="46" t="str">
        <f>拠点別設定値!AM7&amp;(拠点別設定値!AO7+1)&amp;":"&amp;拠点別設定値!AM7&amp;(拠点別設定値!AO7+2)</f>
        <v>AA42:AA43</v>
      </c>
      <c r="I19" s="46" t="str">
        <f>拠点別設定値!AN7&amp;(拠点別設定値!AO7+1)</f>
        <v>Z42</v>
      </c>
      <c r="J19" s="46" t="s">
        <v>211</v>
      </c>
      <c r="K19" s="46" t="s">
        <v>212</v>
      </c>
      <c r="L19" s="46" t="str">
        <f t="shared" si="0"/>
        <v>無</v>
      </c>
    </row>
    <row r="20" spans="1:12" ht="14.25" customHeight="1">
      <c r="A20" s="46" t="str">
        <f>拠点別設定値!D7</f>
        <v>外注鉄</v>
      </c>
      <c r="B20" s="46" t="s">
        <v>146</v>
      </c>
      <c r="C20" s="46" t="s">
        <v>213</v>
      </c>
      <c r="D20" s="46" t="str">
        <f>拠点別設定値!BF7</f>
        <v>在庫額（色）</v>
      </c>
      <c r="E20" s="46">
        <v>2</v>
      </c>
      <c r="F20" s="46">
        <f>拠点別設定値!AQ7</f>
        <v>22</v>
      </c>
      <c r="G20" s="46">
        <v>1</v>
      </c>
      <c r="H20" s="46" t="str">
        <f>拠点別設定値!AR7&amp;拠点別設定値!AT7&amp;":"&amp;拠点別設定値!AR7&amp;拠点別設定値!AU7</f>
        <v>W41:W63</v>
      </c>
      <c r="I20" s="46" t="str">
        <f>拠点別設定値!AS7&amp;拠点別設定値!AT7</f>
        <v>V41</v>
      </c>
      <c r="J20" s="46" t="s">
        <v>210</v>
      </c>
      <c r="K20" s="46"/>
      <c r="L20" s="46" t="str">
        <f t="shared" si="0"/>
        <v>有</v>
      </c>
    </row>
    <row r="21" spans="1:12" ht="18.75" customHeight="1">
      <c r="A21" s="46" t="str">
        <f>拠点別設定値!D7</f>
        <v>外注鉄</v>
      </c>
      <c r="B21" s="46" t="s">
        <v>146</v>
      </c>
      <c r="C21" s="46" t="s">
        <v>213</v>
      </c>
      <c r="D21" s="46" t="str">
        <f>拠点別設定値!BF7</f>
        <v>在庫額（色）</v>
      </c>
      <c r="E21" s="46">
        <v>2</v>
      </c>
      <c r="F21" s="46">
        <f>拠点別設定値!AQ7</f>
        <v>22</v>
      </c>
      <c r="G21" s="46">
        <v>2</v>
      </c>
      <c r="H21" s="46" t="str">
        <f>拠点別設定値!AR7&amp;(拠点別設定値!AT7+1)&amp;":"&amp;拠点別設定値!AR7&amp;(拠点別設定値!AT7+2)</f>
        <v>W42:W43</v>
      </c>
      <c r="I21" s="46" t="str">
        <f>拠点別設定値!AS7&amp;(拠点別設定値!AT7+1)</f>
        <v>V42</v>
      </c>
      <c r="J21" s="46" t="s">
        <v>211</v>
      </c>
      <c r="K21" s="46" t="s">
        <v>212</v>
      </c>
      <c r="L21" s="46" t="str">
        <f t="shared" si="0"/>
        <v>無</v>
      </c>
    </row>
    <row r="22" spans="1:12" ht="14.25" customHeight="1">
      <c r="A22" s="45" t="str">
        <f>拠点別設定値!D8</f>
        <v>船舶(機械部)</v>
      </c>
      <c r="B22" s="45" t="s">
        <v>145</v>
      </c>
      <c r="C22" s="45" t="s">
        <v>209</v>
      </c>
      <c r="D22" s="45" t="str">
        <f>拠点別設定値!BC8</f>
        <v>欠品</v>
      </c>
      <c r="E22" s="45">
        <v>2</v>
      </c>
      <c r="F22" s="45">
        <f>拠点別設定値!J8</f>
        <v>25</v>
      </c>
      <c r="G22" s="45">
        <v>1</v>
      </c>
      <c r="H22" s="45" t="str">
        <f>拠点別設定値!K8&amp;拠点別設定値!M8&amp;":"&amp;拠点別設定値!K8&amp;拠点別設定値!N8</f>
        <v>Z24:Z52</v>
      </c>
      <c r="I22" s="45" t="str">
        <f>拠点別設定値!L8&amp;拠点別設定値!M8</f>
        <v>Y24</v>
      </c>
      <c r="J22" s="45" t="s">
        <v>210</v>
      </c>
      <c r="K22" s="45"/>
      <c r="L22" s="45" t="str">
        <f t="shared" si="0"/>
        <v>有</v>
      </c>
    </row>
    <row r="23" spans="1:12" ht="18.75" customHeight="1">
      <c r="A23" s="45" t="str">
        <f>拠点別設定値!D8</f>
        <v>船舶(機械部)</v>
      </c>
      <c r="B23" s="45" t="s">
        <v>145</v>
      </c>
      <c r="C23" s="45" t="s">
        <v>209</v>
      </c>
      <c r="D23" s="45" t="str">
        <f>拠点別設定値!BC8</f>
        <v>欠品</v>
      </c>
      <c r="E23" s="45">
        <v>2</v>
      </c>
      <c r="F23" s="45">
        <f>拠点別設定値!J8</f>
        <v>25</v>
      </c>
      <c r="G23" s="45">
        <v>2</v>
      </c>
      <c r="H23" s="45" t="str">
        <f>拠点別設定値!K8&amp;(拠点別設定値!M8+1)&amp;":"&amp;拠点別設定値!K8&amp;(拠点別設定値!M8+2)</f>
        <v>Z25:Z26</v>
      </c>
      <c r="I23" s="45" t="str">
        <f>拠点別設定値!L8&amp;(拠点別設定値!M8+1)</f>
        <v>Y25</v>
      </c>
      <c r="J23" s="45" t="s">
        <v>211</v>
      </c>
      <c r="K23" s="45" t="s">
        <v>212</v>
      </c>
      <c r="L23" s="45" t="str">
        <f t="shared" si="0"/>
        <v>無</v>
      </c>
    </row>
    <row r="24" spans="1:12" ht="14.25" customHeight="1">
      <c r="A24" s="45" t="str">
        <f>拠点別設定値!D8</f>
        <v>船舶(機械部)</v>
      </c>
      <c r="B24" s="45" t="s">
        <v>146</v>
      </c>
      <c r="C24" s="45" t="s">
        <v>209</v>
      </c>
      <c r="D24" s="45" t="str">
        <f>拠点別設定値!BD8</f>
        <v>在庫額</v>
      </c>
      <c r="E24" s="45">
        <v>2</v>
      </c>
      <c r="F24" s="45">
        <f>拠点別設定値!O8</f>
        <v>23</v>
      </c>
      <c r="G24" s="45">
        <v>1</v>
      </c>
      <c r="H24" s="45" t="str">
        <f>拠点別設定値!P8&amp;拠点別設定値!R8&amp;":"&amp;拠点別設定値!P8&amp;拠点別設定値!S8</f>
        <v>X21:X49</v>
      </c>
      <c r="I24" s="45" t="str">
        <f>拠点別設定値!Q8&amp;拠点別設定値!R8</f>
        <v>W21</v>
      </c>
      <c r="J24" s="45" t="s">
        <v>210</v>
      </c>
      <c r="K24" s="45"/>
      <c r="L24" s="45" t="str">
        <f t="shared" si="0"/>
        <v>有</v>
      </c>
    </row>
    <row r="25" spans="1:12" ht="18.75" customHeight="1">
      <c r="A25" s="45" t="str">
        <f>拠点別設定値!D8</f>
        <v>船舶(機械部)</v>
      </c>
      <c r="B25" s="45" t="s">
        <v>146</v>
      </c>
      <c r="C25" s="45" t="s">
        <v>209</v>
      </c>
      <c r="D25" s="45" t="str">
        <f>拠点別設定値!BD8</f>
        <v>在庫額</v>
      </c>
      <c r="E25" s="45">
        <v>2</v>
      </c>
      <c r="F25" s="45">
        <f>拠点別設定値!O8</f>
        <v>23</v>
      </c>
      <c r="G25" s="45">
        <v>2</v>
      </c>
      <c r="H25" s="45" t="str">
        <f>拠点別設定値!P8&amp;(拠点別設定値!R8+1)&amp;":"&amp;拠点別設定値!P8&amp;(拠点別設定値!R8+2)</f>
        <v>X22:X23</v>
      </c>
      <c r="I25" s="45" t="str">
        <f>拠点別設定値!Q8&amp;(拠点別設定値!R8+1)</f>
        <v>W22</v>
      </c>
      <c r="J25" s="45" t="s">
        <v>211</v>
      </c>
      <c r="K25" s="45" t="s">
        <v>212</v>
      </c>
      <c r="L25" s="45" t="str">
        <f t="shared" si="0"/>
        <v>無</v>
      </c>
    </row>
    <row r="26" spans="1:12" ht="14.25" customHeight="1">
      <c r="A26" s="45" t="str">
        <f>拠点別設定値!D9</f>
        <v>仙台</v>
      </c>
      <c r="B26" s="45" t="s">
        <v>145</v>
      </c>
      <c r="C26" s="45" t="s">
        <v>209</v>
      </c>
      <c r="D26" s="45" t="str">
        <f>拠点別設定値!BC9</f>
        <v>欠品</v>
      </c>
      <c r="E26" s="45">
        <v>2</v>
      </c>
      <c r="F26" s="45">
        <f>拠点別設定値!J9</f>
        <v>23</v>
      </c>
      <c r="G26" s="45">
        <v>1</v>
      </c>
      <c r="H26" s="45" t="str">
        <f>拠点別設定値!K9&amp;拠点別設定値!M9&amp;":"&amp;拠点別設定値!K9&amp;拠点別設定値!N9</f>
        <v>X37:X58</v>
      </c>
      <c r="I26" s="45" t="str">
        <f>拠点別設定値!L9&amp;拠点別設定値!M9</f>
        <v>W37</v>
      </c>
      <c r="J26" s="45" t="s">
        <v>210</v>
      </c>
      <c r="K26" s="45"/>
      <c r="L26" s="45" t="str">
        <f t="shared" si="0"/>
        <v>有</v>
      </c>
    </row>
    <row r="27" spans="1:12" ht="18.75" customHeight="1">
      <c r="A27" s="45" t="str">
        <f>拠点別設定値!D9</f>
        <v>仙台</v>
      </c>
      <c r="B27" s="45" t="s">
        <v>145</v>
      </c>
      <c r="C27" s="45" t="s">
        <v>209</v>
      </c>
      <c r="D27" s="45" t="str">
        <f>拠点別設定値!BC9</f>
        <v>欠品</v>
      </c>
      <c r="E27" s="45">
        <v>2</v>
      </c>
      <c r="F27" s="45">
        <f>拠点別設定値!J9</f>
        <v>23</v>
      </c>
      <c r="G27" s="45">
        <v>2</v>
      </c>
      <c r="H27" s="45" t="str">
        <f>拠点別設定値!K9&amp;(拠点別設定値!M9+1)&amp;":"&amp;拠点別設定値!K9&amp;(拠点別設定値!M9+2)</f>
        <v>X38:X39</v>
      </c>
      <c r="I27" s="45" t="str">
        <f>拠点別設定値!L9&amp;(拠点別設定値!M9+1)</f>
        <v>W38</v>
      </c>
      <c r="J27" s="45" t="s">
        <v>211</v>
      </c>
      <c r="K27" s="45" t="s">
        <v>212</v>
      </c>
      <c r="L27" s="45" t="str">
        <f t="shared" si="0"/>
        <v>無</v>
      </c>
    </row>
    <row r="28" spans="1:12" ht="14.25" customHeight="1">
      <c r="A28" s="45" t="str">
        <f>拠点別設定値!D9</f>
        <v>仙台</v>
      </c>
      <c r="B28" s="45" t="s">
        <v>146</v>
      </c>
      <c r="C28" s="45" t="s">
        <v>209</v>
      </c>
      <c r="D28" s="45" t="str">
        <f>拠点別設定値!BD9</f>
        <v>在庫額</v>
      </c>
      <c r="E28" s="45">
        <v>2</v>
      </c>
      <c r="F28" s="45">
        <f>拠点別設定値!O9</f>
        <v>23</v>
      </c>
      <c r="G28" s="45">
        <v>1</v>
      </c>
      <c r="H28" s="45" t="str">
        <f>拠点別設定値!P9&amp;拠点別設定値!R9&amp;":"&amp;拠点別設定値!P9&amp;拠点別設定値!S9</f>
        <v>X37:X60</v>
      </c>
      <c r="I28" s="45" t="str">
        <f>拠点別設定値!Q9&amp;拠点別設定値!R9</f>
        <v>W37</v>
      </c>
      <c r="J28" s="45" t="s">
        <v>210</v>
      </c>
      <c r="K28" s="45"/>
      <c r="L28" s="45" t="str">
        <f t="shared" si="0"/>
        <v>有</v>
      </c>
    </row>
    <row r="29" spans="1:12" ht="18.75" customHeight="1">
      <c r="A29" s="45" t="str">
        <f>拠点別設定値!D9</f>
        <v>仙台</v>
      </c>
      <c r="B29" s="45" t="s">
        <v>146</v>
      </c>
      <c r="C29" s="45" t="s">
        <v>209</v>
      </c>
      <c r="D29" s="45" t="str">
        <f>拠点別設定値!BD9</f>
        <v>在庫額</v>
      </c>
      <c r="E29" s="45">
        <v>2</v>
      </c>
      <c r="F29" s="45">
        <f>拠点別設定値!O9</f>
        <v>23</v>
      </c>
      <c r="G29" s="45">
        <v>2</v>
      </c>
      <c r="H29" s="45" t="str">
        <f>拠点別設定値!P9&amp;(拠点別設定値!R9+1)&amp;":"&amp;拠点別設定値!P9&amp;(拠点別設定値!R9+2)</f>
        <v>X38:X39</v>
      </c>
      <c r="I29" s="45" t="str">
        <f>拠点別設定値!Q9&amp;(拠点別設定値!R9+1)</f>
        <v>W38</v>
      </c>
      <c r="J29" s="45" t="s">
        <v>211</v>
      </c>
      <c r="K29" s="45" t="s">
        <v>212</v>
      </c>
      <c r="L29" s="45" t="str">
        <f t="shared" si="0"/>
        <v>無</v>
      </c>
    </row>
    <row r="30" spans="1:12" ht="14.25" customHeight="1">
      <c r="A30" s="45" t="str">
        <f>拠点別設定値!D10</f>
        <v>福岡</v>
      </c>
      <c r="B30" s="45" t="s">
        <v>145</v>
      </c>
      <c r="C30" s="45" t="s">
        <v>209</v>
      </c>
      <c r="D30" s="45" t="str">
        <f>拠点別設定値!BC10</f>
        <v>欠品</v>
      </c>
      <c r="E30" s="45">
        <v>2</v>
      </c>
      <c r="F30" s="45">
        <f>拠点別設定値!J10</f>
        <v>23</v>
      </c>
      <c r="G30" s="45">
        <v>1</v>
      </c>
      <c r="H30" s="45" t="str">
        <f>拠点別設定値!K10&amp;拠点別設定値!M10&amp;":"&amp;拠点別設定値!K10&amp;拠点別設定値!N10</f>
        <v>X29:X50</v>
      </c>
      <c r="I30" s="45" t="str">
        <f>拠点別設定値!L10&amp;拠点別設定値!M10</f>
        <v>W29</v>
      </c>
      <c r="J30" s="45" t="s">
        <v>210</v>
      </c>
      <c r="K30" s="45"/>
      <c r="L30" s="45" t="str">
        <f t="shared" si="0"/>
        <v>有</v>
      </c>
    </row>
    <row r="31" spans="1:12" ht="18.75" customHeight="1">
      <c r="A31" s="45" t="str">
        <f>拠点別設定値!D10</f>
        <v>福岡</v>
      </c>
      <c r="B31" s="45" t="s">
        <v>145</v>
      </c>
      <c r="C31" s="45" t="s">
        <v>209</v>
      </c>
      <c r="D31" s="45" t="str">
        <f>拠点別設定値!BC10</f>
        <v>欠品</v>
      </c>
      <c r="E31" s="45">
        <v>2</v>
      </c>
      <c r="F31" s="45">
        <f>拠点別設定値!J10</f>
        <v>23</v>
      </c>
      <c r="G31" s="45">
        <v>2</v>
      </c>
      <c r="H31" s="45" t="str">
        <f>拠点別設定値!K10&amp;(拠点別設定値!M10+1)&amp;":"&amp;拠点別設定値!K10&amp;(拠点別設定値!M10+2)</f>
        <v>X30:X31</v>
      </c>
      <c r="I31" s="45" t="str">
        <f>拠点別設定値!L10&amp;(拠点別設定値!M10+1)</f>
        <v>W30</v>
      </c>
      <c r="J31" s="45" t="s">
        <v>211</v>
      </c>
      <c r="K31" s="45" t="s">
        <v>212</v>
      </c>
      <c r="L31" s="45" t="str">
        <f t="shared" si="0"/>
        <v>無</v>
      </c>
    </row>
    <row r="32" spans="1:12" ht="14.25" customHeight="1">
      <c r="A32" s="45" t="str">
        <f>拠点別設定値!D10</f>
        <v>福岡</v>
      </c>
      <c r="B32" s="45" t="s">
        <v>146</v>
      </c>
      <c r="C32" s="45" t="s">
        <v>209</v>
      </c>
      <c r="D32" s="45" t="str">
        <f>拠点別設定値!BD10</f>
        <v>在庫額</v>
      </c>
      <c r="E32" s="45">
        <v>2</v>
      </c>
      <c r="F32" s="45">
        <f>拠点別設定値!O10</f>
        <v>20</v>
      </c>
      <c r="G32" s="45">
        <v>1</v>
      </c>
      <c r="H32" s="45" t="str">
        <f>拠点別設定値!P10&amp;拠点別設定値!R10&amp;":"&amp;拠点別設定値!P10&amp;拠点別設定値!S10</f>
        <v>U32:U54</v>
      </c>
      <c r="I32" s="45" t="str">
        <f>拠点別設定値!Q10&amp;拠点別設定値!R10</f>
        <v>T32</v>
      </c>
      <c r="J32" s="45" t="s">
        <v>210</v>
      </c>
      <c r="K32" s="45"/>
      <c r="L32" s="45" t="str">
        <f t="shared" si="0"/>
        <v>有</v>
      </c>
    </row>
    <row r="33" spans="1:12" ht="18.75" customHeight="1">
      <c r="A33" s="45" t="str">
        <f>拠点別設定値!D10</f>
        <v>福岡</v>
      </c>
      <c r="B33" s="45" t="s">
        <v>146</v>
      </c>
      <c r="C33" s="45" t="s">
        <v>209</v>
      </c>
      <c r="D33" s="45" t="str">
        <f>拠点別設定値!BD10</f>
        <v>在庫額</v>
      </c>
      <c r="E33" s="45">
        <v>2</v>
      </c>
      <c r="F33" s="45">
        <f>拠点別設定値!O10</f>
        <v>20</v>
      </c>
      <c r="G33" s="45">
        <v>2</v>
      </c>
      <c r="H33" s="45" t="str">
        <f>拠点別設定値!P10&amp;(拠点別設定値!R10+1)&amp;":"&amp;拠点別設定値!P10&amp;(拠点別設定値!R10+2)</f>
        <v>U33:U34</v>
      </c>
      <c r="I33" s="45" t="str">
        <f>拠点別設定値!Q10&amp;(拠点別設定値!R10+1)</f>
        <v>T33</v>
      </c>
      <c r="J33" s="45" t="s">
        <v>211</v>
      </c>
      <c r="K33" s="45" t="s">
        <v>212</v>
      </c>
      <c r="L33" s="45" t="str">
        <f t="shared" si="0"/>
        <v>無</v>
      </c>
    </row>
    <row r="34" spans="1:12" ht="14.25" customHeight="1">
      <c r="A34" s="45" t="str">
        <f>拠点別設定値!D11</f>
        <v>東京</v>
      </c>
      <c r="B34" s="45" t="s">
        <v>145</v>
      </c>
      <c r="C34" s="45" t="s">
        <v>209</v>
      </c>
      <c r="D34" s="45" t="str">
        <f>拠点別設定値!BC11</f>
        <v>欠品</v>
      </c>
      <c r="E34" s="45">
        <v>2</v>
      </c>
      <c r="F34" s="45">
        <f>拠点別設定値!J11</f>
        <v>25</v>
      </c>
      <c r="G34" s="45">
        <v>1</v>
      </c>
      <c r="H34" s="45" t="str">
        <f>拠点別設定値!K11&amp;拠点別設定値!M11&amp;":"&amp;拠点別設定値!K11&amp;拠点別設定値!N11</f>
        <v>Z27:Z48</v>
      </c>
      <c r="I34" s="45" t="str">
        <f>拠点別設定値!L11&amp;拠点別設定値!M11</f>
        <v>Y27</v>
      </c>
      <c r="J34" s="45" t="s">
        <v>210</v>
      </c>
      <c r="K34" s="45"/>
      <c r="L34" s="45" t="str">
        <f t="shared" si="0"/>
        <v>有</v>
      </c>
    </row>
    <row r="35" spans="1:12" ht="18.75" customHeight="1">
      <c r="A35" s="45" t="str">
        <f>拠点別設定値!D11</f>
        <v>東京</v>
      </c>
      <c r="B35" s="45" t="s">
        <v>145</v>
      </c>
      <c r="C35" s="45" t="s">
        <v>209</v>
      </c>
      <c r="D35" s="45" t="str">
        <f>拠点別設定値!BC11</f>
        <v>欠品</v>
      </c>
      <c r="E35" s="45">
        <v>2</v>
      </c>
      <c r="F35" s="45">
        <f>拠点別設定値!J11</f>
        <v>25</v>
      </c>
      <c r="G35" s="45">
        <v>2</v>
      </c>
      <c r="H35" s="45" t="str">
        <f>拠点別設定値!K11&amp;(拠点別設定値!M11+1)&amp;":"&amp;拠点別設定値!K11&amp;(拠点別設定値!M11+2)</f>
        <v>Z28:Z29</v>
      </c>
      <c r="I35" s="45" t="str">
        <f>拠点別設定値!L11&amp;(拠点別設定値!M11+1)</f>
        <v>Y28</v>
      </c>
      <c r="J35" s="45" t="s">
        <v>211</v>
      </c>
      <c r="K35" s="45" t="s">
        <v>212</v>
      </c>
      <c r="L35" s="45" t="str">
        <f t="shared" si="0"/>
        <v>無</v>
      </c>
    </row>
    <row r="36" spans="1:12" ht="14.25" customHeight="1">
      <c r="A36" s="45" t="str">
        <f>拠点別設定値!D11</f>
        <v>東京</v>
      </c>
      <c r="B36" s="45" t="s">
        <v>146</v>
      </c>
      <c r="C36" s="45" t="s">
        <v>209</v>
      </c>
      <c r="D36" s="45" t="str">
        <f>拠点別設定値!BD11</f>
        <v>在庫額</v>
      </c>
      <c r="E36" s="45">
        <v>2</v>
      </c>
      <c r="F36" s="45">
        <f>拠点別設定値!O11</f>
        <v>23</v>
      </c>
      <c r="G36" s="45">
        <v>1</v>
      </c>
      <c r="H36" s="45" t="str">
        <f>拠点別設定値!P11&amp;拠点別設定値!R11&amp;":"&amp;拠点別設定値!P11&amp;拠点別設定値!S11</f>
        <v>X29:X52</v>
      </c>
      <c r="I36" s="45" t="str">
        <f>拠点別設定値!Q11&amp;拠点別設定値!R11</f>
        <v>W29</v>
      </c>
      <c r="J36" s="45" t="s">
        <v>210</v>
      </c>
      <c r="K36" s="45"/>
      <c r="L36" s="45" t="str">
        <f t="shared" si="0"/>
        <v>有</v>
      </c>
    </row>
    <row r="37" spans="1:12" ht="18.75" customHeight="1">
      <c r="A37" s="45" t="str">
        <f>拠点別設定値!D11</f>
        <v>東京</v>
      </c>
      <c r="B37" s="45" t="s">
        <v>146</v>
      </c>
      <c r="C37" s="45" t="s">
        <v>209</v>
      </c>
      <c r="D37" s="45" t="str">
        <f>拠点別設定値!BD11</f>
        <v>在庫額</v>
      </c>
      <c r="E37" s="45">
        <v>2</v>
      </c>
      <c r="F37" s="45">
        <f>拠点別設定値!O11</f>
        <v>23</v>
      </c>
      <c r="G37" s="45">
        <v>2</v>
      </c>
      <c r="H37" s="45" t="str">
        <f>拠点別設定値!P11&amp;(拠点別設定値!R11+1)&amp;":"&amp;拠点別設定値!P11&amp;(拠点別設定値!R11+2)</f>
        <v>X30:X31</v>
      </c>
      <c r="I37" s="45" t="str">
        <f>拠点別設定値!Q11&amp;(拠点別設定値!R11+1)</f>
        <v>W30</v>
      </c>
      <c r="J37" s="45" t="s">
        <v>211</v>
      </c>
      <c r="K37" s="45" t="s">
        <v>212</v>
      </c>
      <c r="L37" s="45" t="str">
        <f t="shared" si="0"/>
        <v>無</v>
      </c>
    </row>
    <row r="38" spans="1:12" ht="14.25" customHeight="1">
      <c r="A38" s="46" t="str">
        <f>拠点別設定値!D12</f>
        <v>成果連絡表(色物)</v>
      </c>
      <c r="B38" s="46" t="s">
        <v>145</v>
      </c>
      <c r="C38" s="46" t="s">
        <v>213</v>
      </c>
      <c r="D38" s="46" t="str">
        <f>拠点別設定値!BE12</f>
        <v>欠品</v>
      </c>
      <c r="E38" s="46">
        <v>2</v>
      </c>
      <c r="F38" s="46">
        <f>拠点別設定値!AL12</f>
        <v>28</v>
      </c>
      <c r="G38" s="46">
        <v>1</v>
      </c>
      <c r="H38" s="46" t="str">
        <f>拠点別設定値!AM12&amp;拠点別設定値!AO12&amp;":"&amp;拠点別設定値!AM12&amp;拠点別設定値!AP12</f>
        <v>AC41:AC61</v>
      </c>
      <c r="I38" s="46" t="str">
        <f>拠点別設定値!AN12&amp;拠点別設定値!AO12</f>
        <v>AB41</v>
      </c>
      <c r="J38" s="46" t="s">
        <v>210</v>
      </c>
      <c r="K38" s="46"/>
      <c r="L38" s="46" t="str">
        <f t="shared" si="0"/>
        <v>有</v>
      </c>
    </row>
    <row r="39" spans="1:12" ht="18.75" customHeight="1">
      <c r="A39" s="46" t="str">
        <f>拠点別設定値!D12</f>
        <v>成果連絡表(色物)</v>
      </c>
      <c r="B39" s="46" t="s">
        <v>145</v>
      </c>
      <c r="C39" s="46" t="s">
        <v>213</v>
      </c>
      <c r="D39" s="46" t="str">
        <f>拠点別設定値!BE12</f>
        <v>欠品</v>
      </c>
      <c r="E39" s="46">
        <v>2</v>
      </c>
      <c r="F39" s="46">
        <f>拠点別設定値!AL12</f>
        <v>28</v>
      </c>
      <c r="G39" s="46">
        <v>2</v>
      </c>
      <c r="H39" s="46" t="str">
        <f>拠点別設定値!AM12&amp;(拠点別設定値!AO12+1)&amp;":"&amp;拠点別設定値!AM12&amp;(拠点別設定値!AO12+2)</f>
        <v>AC42:AC43</v>
      </c>
      <c r="I39" s="46" t="str">
        <f>拠点別設定値!AN12&amp;(拠点別設定値!AO12+1)</f>
        <v>AB42</v>
      </c>
      <c r="J39" s="46" t="s">
        <v>211</v>
      </c>
      <c r="K39" s="46" t="s">
        <v>212</v>
      </c>
      <c r="L39" s="46" t="str">
        <f t="shared" si="0"/>
        <v>無</v>
      </c>
    </row>
    <row r="40" spans="1:12" ht="14.25" customHeight="1">
      <c r="A40" s="46" t="str">
        <f>拠点別設定値!D12</f>
        <v>成果連絡表(色物)</v>
      </c>
      <c r="B40" s="46" t="s">
        <v>146</v>
      </c>
      <c r="C40" s="46" t="s">
        <v>213</v>
      </c>
      <c r="D40" s="46" t="str">
        <f>拠点別設定値!BF12</f>
        <v>発注点割れ</v>
      </c>
      <c r="E40" s="46">
        <v>2</v>
      </c>
      <c r="F40" s="46">
        <f>拠点別設定値!AQ12</f>
        <v>30</v>
      </c>
      <c r="G40" s="46">
        <v>1</v>
      </c>
      <c r="H40" s="46" t="str">
        <f>拠点別設定値!AR12&amp;拠点別設定値!AT12&amp;":"&amp;拠点別設定値!AR12&amp;拠点別設定値!AU12</f>
        <v>AE41:AE61</v>
      </c>
      <c r="I40" s="46" t="str">
        <f>拠点別設定値!AS12&amp;拠点別設定値!AT12</f>
        <v>AD41</v>
      </c>
      <c r="J40" s="46" t="s">
        <v>210</v>
      </c>
      <c r="K40" s="46"/>
      <c r="L40" s="46" t="str">
        <f t="shared" si="0"/>
        <v>有</v>
      </c>
    </row>
    <row r="41" spans="1:12" ht="18.75" customHeight="1">
      <c r="A41" s="46" t="str">
        <f>拠点別設定値!D12</f>
        <v>成果連絡表(色物)</v>
      </c>
      <c r="B41" s="46" t="s">
        <v>146</v>
      </c>
      <c r="C41" s="46" t="s">
        <v>213</v>
      </c>
      <c r="D41" s="46" t="str">
        <f>拠点別設定値!BF12</f>
        <v>発注点割れ</v>
      </c>
      <c r="E41" s="46">
        <v>2</v>
      </c>
      <c r="F41" s="46">
        <f>拠点別設定値!AQ12</f>
        <v>30</v>
      </c>
      <c r="G41" s="46">
        <v>2</v>
      </c>
      <c r="H41" s="46" t="str">
        <f>拠点別設定値!AR12&amp;(拠点別設定値!AT12+1)&amp;":"&amp;拠点別設定値!AR12&amp;(拠点別設定値!AT12+2)</f>
        <v>AE42:AE43</v>
      </c>
      <c r="I41" s="46" t="str">
        <f>拠点別設定値!AS12&amp;(拠点別設定値!AT12+1)</f>
        <v>AD42</v>
      </c>
      <c r="J41" s="46" t="s">
        <v>211</v>
      </c>
      <c r="K41" s="46" t="s">
        <v>212</v>
      </c>
      <c r="L41" s="46" t="str">
        <f t="shared" si="0"/>
        <v>無</v>
      </c>
    </row>
  </sheetData>
  <phoneticPr fontId="2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showGridLines="0" workbookViewId="0"/>
  </sheetViews>
  <sheetFormatPr defaultColWidth="8.5" defaultRowHeight="13.5"/>
  <cols>
    <col min="1" max="1" width="16" customWidth="1"/>
    <col min="2" max="2" width="22" customWidth="1"/>
    <col min="3" max="3" width="10" customWidth="1"/>
    <col min="4" max="4" width="46" customWidth="1"/>
    <col min="5" max="5" width="30" customWidth="1"/>
  </cols>
  <sheetData>
    <row r="1" spans="1:5" ht="19.5" customHeight="1">
      <c r="A1" s="17" t="s">
        <v>198</v>
      </c>
      <c r="B1" s="17" t="s">
        <v>214</v>
      </c>
      <c r="C1" s="17" t="s">
        <v>215</v>
      </c>
      <c r="D1" s="17" t="s">
        <v>216</v>
      </c>
      <c r="E1" s="17" t="s">
        <v>207</v>
      </c>
    </row>
    <row r="2" spans="1:5" ht="16.5" customHeight="1">
      <c r="A2" s="97" t="s">
        <v>71</v>
      </c>
      <c r="B2" s="47" t="s">
        <v>3</v>
      </c>
      <c r="C2" s="47" t="s">
        <v>217</v>
      </c>
      <c r="D2" s="48" t="s">
        <v>218</v>
      </c>
      <c r="E2" s="48"/>
    </row>
    <row r="3" spans="1:5" ht="16.5" customHeight="1">
      <c r="A3" s="99"/>
      <c r="B3" s="47" t="s">
        <v>4</v>
      </c>
      <c r="C3" s="47" t="s">
        <v>217</v>
      </c>
      <c r="D3" s="49" t="s">
        <v>219</v>
      </c>
      <c r="E3" s="49"/>
    </row>
    <row r="4" spans="1:5" ht="16.5" customHeight="1">
      <c r="A4" s="99"/>
      <c r="B4" s="50" t="s">
        <v>77</v>
      </c>
      <c r="C4" s="47" t="s">
        <v>217</v>
      </c>
      <c r="D4" s="48" t="s">
        <v>220</v>
      </c>
      <c r="E4" s="49" t="s">
        <v>221</v>
      </c>
    </row>
    <row r="5" spans="1:5" ht="16.5" customHeight="1">
      <c r="A5" s="99"/>
      <c r="B5" s="50" t="s">
        <v>78</v>
      </c>
      <c r="C5" s="47" t="s">
        <v>217</v>
      </c>
      <c r="D5" s="48" t="s">
        <v>222</v>
      </c>
      <c r="E5" s="49"/>
    </row>
    <row r="6" spans="1:5" ht="16.5" customHeight="1">
      <c r="A6" s="99"/>
      <c r="B6" s="47" t="s">
        <v>79</v>
      </c>
      <c r="C6" s="47" t="s">
        <v>217</v>
      </c>
      <c r="D6" s="49" t="s">
        <v>223</v>
      </c>
      <c r="E6" s="49"/>
    </row>
    <row r="7" spans="1:5" ht="16.5" customHeight="1">
      <c r="A7" s="98"/>
      <c r="B7" s="47" t="s">
        <v>81</v>
      </c>
      <c r="C7" s="47" t="s">
        <v>217</v>
      </c>
      <c r="D7" s="49" t="s">
        <v>224</v>
      </c>
      <c r="E7" s="49"/>
    </row>
    <row r="8" spans="1:5" ht="16.5" customHeight="1">
      <c r="A8" s="97" t="s">
        <v>225</v>
      </c>
      <c r="B8" s="47" t="s">
        <v>82</v>
      </c>
      <c r="C8" s="47" t="s">
        <v>226</v>
      </c>
      <c r="D8" s="49" t="s">
        <v>227</v>
      </c>
      <c r="E8" s="49" t="s">
        <v>228</v>
      </c>
    </row>
    <row r="9" spans="1:5" ht="16.5" customHeight="1">
      <c r="A9" s="99"/>
      <c r="B9" s="47" t="s">
        <v>83</v>
      </c>
      <c r="C9" s="47" t="s">
        <v>229</v>
      </c>
      <c r="D9" s="49" t="s">
        <v>230</v>
      </c>
      <c r="E9" s="49"/>
    </row>
    <row r="10" spans="1:5" ht="16.5" customHeight="1">
      <c r="A10" s="99"/>
      <c r="B10" s="47" t="s">
        <v>84</v>
      </c>
      <c r="C10" s="47" t="s">
        <v>229</v>
      </c>
      <c r="D10" s="49" t="s">
        <v>231</v>
      </c>
      <c r="E10" s="49"/>
    </row>
    <row r="11" spans="1:5" ht="16.5" customHeight="1">
      <c r="A11" s="99"/>
      <c r="B11" s="47" t="s">
        <v>85</v>
      </c>
      <c r="C11" s="47" t="s">
        <v>226</v>
      </c>
      <c r="D11" s="49" t="s">
        <v>232</v>
      </c>
      <c r="E11" s="49" t="s">
        <v>233</v>
      </c>
    </row>
    <row r="12" spans="1:5" ht="16.5" customHeight="1">
      <c r="A12" s="98"/>
      <c r="B12" s="47" t="s">
        <v>86</v>
      </c>
      <c r="C12" s="47" t="s">
        <v>226</v>
      </c>
      <c r="D12" s="49" t="s">
        <v>234</v>
      </c>
      <c r="E12" s="49" t="s">
        <v>233</v>
      </c>
    </row>
    <row r="13" spans="1:5" ht="16.5" customHeight="1">
      <c r="A13" s="97" t="s">
        <v>235</v>
      </c>
      <c r="B13" s="47" t="s">
        <v>87</v>
      </c>
      <c r="C13" s="47" t="s">
        <v>226</v>
      </c>
      <c r="D13" s="49" t="s">
        <v>236</v>
      </c>
      <c r="E13" s="49" t="s">
        <v>228</v>
      </c>
    </row>
    <row r="14" spans="1:5" ht="16.5" customHeight="1">
      <c r="A14" s="99"/>
      <c r="B14" s="47" t="s">
        <v>88</v>
      </c>
      <c r="C14" s="47" t="s">
        <v>229</v>
      </c>
      <c r="D14" s="49" t="s">
        <v>237</v>
      </c>
      <c r="E14" s="49"/>
    </row>
    <row r="15" spans="1:5" ht="16.5" customHeight="1">
      <c r="A15" s="99"/>
      <c r="B15" s="47" t="s">
        <v>89</v>
      </c>
      <c r="C15" s="47" t="s">
        <v>229</v>
      </c>
      <c r="D15" s="49" t="s">
        <v>238</v>
      </c>
      <c r="E15" s="49"/>
    </row>
    <row r="16" spans="1:5" ht="16.5" customHeight="1">
      <c r="A16" s="99"/>
      <c r="B16" s="47" t="s">
        <v>90</v>
      </c>
      <c r="C16" s="47" t="s">
        <v>226</v>
      </c>
      <c r="D16" s="49" t="s">
        <v>239</v>
      </c>
      <c r="E16" s="49" t="s">
        <v>233</v>
      </c>
    </row>
    <row r="17" spans="1:5" ht="16.5" customHeight="1">
      <c r="A17" s="98"/>
      <c r="B17" s="47" t="s">
        <v>91</v>
      </c>
      <c r="C17" s="47" t="s">
        <v>226</v>
      </c>
      <c r="D17" s="49" t="s">
        <v>240</v>
      </c>
      <c r="E17" s="49" t="s">
        <v>233</v>
      </c>
    </row>
    <row r="18" spans="1:5" ht="16.5" customHeight="1">
      <c r="A18" s="100" t="s">
        <v>241</v>
      </c>
      <c r="B18" s="50" t="s">
        <v>92</v>
      </c>
      <c r="C18" s="47" t="s">
        <v>229</v>
      </c>
      <c r="D18" s="48" t="s">
        <v>242</v>
      </c>
      <c r="E18" s="49"/>
    </row>
    <row r="19" spans="1:5" ht="16.5" customHeight="1">
      <c r="A19" s="99"/>
      <c r="B19" s="50" t="s">
        <v>93</v>
      </c>
      <c r="C19" s="47" t="s">
        <v>226</v>
      </c>
      <c r="D19" s="48" t="s">
        <v>243</v>
      </c>
      <c r="E19" s="49" t="s">
        <v>244</v>
      </c>
    </row>
    <row r="20" spans="1:5" ht="16.5" customHeight="1">
      <c r="A20" s="98"/>
      <c r="B20" s="47" t="s">
        <v>94</v>
      </c>
      <c r="C20" s="47" t="s">
        <v>226</v>
      </c>
      <c r="D20" s="49" t="s">
        <v>245</v>
      </c>
      <c r="E20" s="49" t="s">
        <v>246</v>
      </c>
    </row>
    <row r="21" spans="1:5" ht="16.5" customHeight="1">
      <c r="A21" s="97" t="s">
        <v>247</v>
      </c>
      <c r="B21" s="47" t="s">
        <v>95</v>
      </c>
      <c r="C21" s="47" t="s">
        <v>248</v>
      </c>
      <c r="D21" s="49" t="s">
        <v>249</v>
      </c>
      <c r="E21" s="49" t="s">
        <v>250</v>
      </c>
    </row>
    <row r="22" spans="1:5" ht="33" customHeight="1">
      <c r="A22" s="99"/>
      <c r="B22" s="47" t="s">
        <v>96</v>
      </c>
      <c r="C22" s="47" t="s">
        <v>248</v>
      </c>
      <c r="D22" s="49" t="s">
        <v>251</v>
      </c>
      <c r="E22" s="49" t="s">
        <v>250</v>
      </c>
    </row>
    <row r="23" spans="1:5" ht="16.5" customHeight="1">
      <c r="A23" s="99"/>
      <c r="B23" s="50" t="s">
        <v>97</v>
      </c>
      <c r="C23" s="47" t="s">
        <v>248</v>
      </c>
      <c r="D23" s="49" t="s">
        <v>252</v>
      </c>
      <c r="E23" s="49" t="s">
        <v>253</v>
      </c>
    </row>
    <row r="24" spans="1:5" ht="33" customHeight="1">
      <c r="A24" s="99"/>
      <c r="B24" s="50" t="s">
        <v>98</v>
      </c>
      <c r="C24" s="47" t="s">
        <v>248</v>
      </c>
      <c r="D24" s="48" t="s">
        <v>254</v>
      </c>
      <c r="E24" s="48" t="s">
        <v>255</v>
      </c>
    </row>
    <row r="25" spans="1:5" ht="16.5" customHeight="1">
      <c r="A25" s="99"/>
      <c r="B25" s="47" t="s">
        <v>99</v>
      </c>
      <c r="C25" s="47" t="s">
        <v>248</v>
      </c>
      <c r="D25" s="48" t="s">
        <v>256</v>
      </c>
      <c r="E25" s="48" t="s">
        <v>257</v>
      </c>
    </row>
    <row r="26" spans="1:5" ht="16.5" customHeight="1">
      <c r="A26" s="98"/>
      <c r="B26" s="50" t="s">
        <v>100</v>
      </c>
      <c r="C26" s="47" t="s">
        <v>248</v>
      </c>
      <c r="D26" s="48" t="s">
        <v>258</v>
      </c>
      <c r="E26" s="49" t="s">
        <v>259</v>
      </c>
    </row>
    <row r="27" spans="1:5" ht="16.5" customHeight="1">
      <c r="A27" s="97" t="s">
        <v>260</v>
      </c>
      <c r="B27" s="47" t="s">
        <v>101</v>
      </c>
      <c r="C27" s="47" t="s">
        <v>248</v>
      </c>
      <c r="D27" s="48" t="s">
        <v>261</v>
      </c>
      <c r="E27" s="49" t="s">
        <v>250</v>
      </c>
    </row>
    <row r="28" spans="1:5" ht="16.5" customHeight="1">
      <c r="A28" s="98"/>
      <c r="B28" s="51" t="s">
        <v>102</v>
      </c>
      <c r="C28" s="51" t="s">
        <v>217</v>
      </c>
      <c r="D28" s="52" t="s">
        <v>262</v>
      </c>
      <c r="E28" s="53" t="s">
        <v>263</v>
      </c>
    </row>
    <row r="29" spans="1:5" ht="26.25" customHeight="1">
      <c r="A29" s="54" t="s">
        <v>264</v>
      </c>
      <c r="B29" s="55" t="s">
        <v>103</v>
      </c>
      <c r="C29" s="54" t="s">
        <v>226</v>
      </c>
      <c r="D29" s="55" t="s">
        <v>265</v>
      </c>
      <c r="E29" s="54" t="s">
        <v>266</v>
      </c>
    </row>
    <row r="30" spans="1:5" ht="13.5" customHeight="1">
      <c r="A30" s="55"/>
      <c r="B30" s="54" t="s">
        <v>104</v>
      </c>
      <c r="C30" s="54" t="s">
        <v>217</v>
      </c>
      <c r="D30" s="55" t="s">
        <v>267</v>
      </c>
      <c r="E30" s="55" t="s">
        <v>268</v>
      </c>
    </row>
    <row r="31" spans="1:5" ht="13.5" customHeight="1">
      <c r="A31" s="55"/>
      <c r="B31" s="54" t="s">
        <v>105</v>
      </c>
      <c r="C31" s="54" t="s">
        <v>217</v>
      </c>
      <c r="D31" s="55" t="s">
        <v>269</v>
      </c>
      <c r="E31" s="55" t="s">
        <v>270</v>
      </c>
    </row>
    <row r="32" spans="1:5" ht="13.5" customHeight="1">
      <c r="A32" s="55"/>
      <c r="B32" s="54" t="s">
        <v>106</v>
      </c>
      <c r="C32" s="54" t="s">
        <v>217</v>
      </c>
      <c r="D32" s="55" t="s">
        <v>271</v>
      </c>
      <c r="E32" s="54" t="s">
        <v>272</v>
      </c>
    </row>
    <row r="33" spans="1:5" ht="13.5" customHeight="1">
      <c r="A33" s="55"/>
      <c r="B33" s="54" t="s">
        <v>107</v>
      </c>
      <c r="C33" s="54" t="s">
        <v>273</v>
      </c>
      <c r="D33" s="54" t="s">
        <v>274</v>
      </c>
      <c r="E33" s="54" t="s">
        <v>275</v>
      </c>
    </row>
    <row r="34" spans="1:5" ht="13.5" customHeight="1">
      <c r="A34" s="55"/>
      <c r="B34" s="54" t="s">
        <v>108</v>
      </c>
      <c r="C34" s="54" t="s">
        <v>273</v>
      </c>
      <c r="D34" s="54" t="s">
        <v>276</v>
      </c>
      <c r="E34" s="54" t="s">
        <v>277</v>
      </c>
    </row>
    <row r="35" spans="1:5" ht="13.5" customHeight="1">
      <c r="A35" s="55"/>
      <c r="B35" s="54" t="s">
        <v>109</v>
      </c>
      <c r="C35" s="54" t="s">
        <v>226</v>
      </c>
      <c r="D35" s="54" t="s">
        <v>278</v>
      </c>
      <c r="E35" s="54" t="s">
        <v>279</v>
      </c>
    </row>
    <row r="36" spans="1:5" ht="26.25" customHeight="1">
      <c r="A36" s="54" t="s">
        <v>280</v>
      </c>
      <c r="B36" s="54" t="s">
        <v>110</v>
      </c>
      <c r="C36" s="54" t="s">
        <v>226</v>
      </c>
      <c r="D36" s="54" t="s">
        <v>281</v>
      </c>
      <c r="E36" s="54" t="s">
        <v>282</v>
      </c>
    </row>
    <row r="37" spans="1:5" ht="13.5" customHeight="1">
      <c r="A37" s="55"/>
      <c r="B37" s="54" t="s">
        <v>111</v>
      </c>
      <c r="C37" s="54" t="s">
        <v>229</v>
      </c>
      <c r="D37" s="54" t="s">
        <v>283</v>
      </c>
      <c r="E37" s="54" t="s">
        <v>284</v>
      </c>
    </row>
    <row r="38" spans="1:5" ht="13.5" customHeight="1">
      <c r="A38" s="55"/>
      <c r="B38" s="54" t="s">
        <v>112</v>
      </c>
      <c r="C38" s="54" t="s">
        <v>229</v>
      </c>
      <c r="D38" s="54" t="s">
        <v>285</v>
      </c>
      <c r="E38" s="54" t="s">
        <v>286</v>
      </c>
    </row>
    <row r="39" spans="1:5" ht="13.5" customHeight="1">
      <c r="A39" s="55"/>
      <c r="B39" s="54" t="s">
        <v>113</v>
      </c>
      <c r="C39" s="54" t="s">
        <v>226</v>
      </c>
      <c r="D39" s="54" t="s">
        <v>287</v>
      </c>
      <c r="E39" s="54" t="s">
        <v>288</v>
      </c>
    </row>
    <row r="40" spans="1:5" ht="13.5" customHeight="1">
      <c r="A40" s="55"/>
      <c r="B40" s="54" t="s">
        <v>114</v>
      </c>
      <c r="C40" s="54" t="s">
        <v>226</v>
      </c>
      <c r="D40" s="54" t="s">
        <v>289</v>
      </c>
      <c r="E40" s="54" t="s">
        <v>290</v>
      </c>
    </row>
    <row r="41" spans="1:5" ht="26.25" customHeight="1">
      <c r="A41" s="54" t="s">
        <v>291</v>
      </c>
      <c r="B41" s="54" t="s">
        <v>115</v>
      </c>
      <c r="C41" s="54" t="s">
        <v>226</v>
      </c>
      <c r="D41" s="54" t="s">
        <v>292</v>
      </c>
      <c r="E41" s="54" t="s">
        <v>282</v>
      </c>
    </row>
    <row r="42" spans="1:5" ht="13.5" customHeight="1">
      <c r="A42" s="55"/>
      <c r="B42" s="54" t="s">
        <v>116</v>
      </c>
      <c r="C42" s="54" t="s">
        <v>229</v>
      </c>
      <c r="D42" s="54" t="s">
        <v>293</v>
      </c>
      <c r="E42" s="54" t="s">
        <v>294</v>
      </c>
    </row>
    <row r="43" spans="1:5" ht="13.5" customHeight="1">
      <c r="A43" s="55"/>
      <c r="B43" s="54" t="s">
        <v>117</v>
      </c>
      <c r="C43" s="54" t="s">
        <v>229</v>
      </c>
      <c r="D43" s="54" t="s">
        <v>295</v>
      </c>
      <c r="E43" s="54" t="s">
        <v>296</v>
      </c>
    </row>
    <row r="44" spans="1:5" ht="13.5" customHeight="1">
      <c r="A44" s="55"/>
      <c r="B44" s="54" t="s">
        <v>118</v>
      </c>
      <c r="C44" s="54" t="s">
        <v>226</v>
      </c>
      <c r="D44" s="54" t="s">
        <v>297</v>
      </c>
      <c r="E44" s="54" t="s">
        <v>288</v>
      </c>
    </row>
    <row r="45" spans="1:5" ht="13.5" customHeight="1">
      <c r="A45" s="55"/>
      <c r="B45" s="54" t="s">
        <v>119</v>
      </c>
      <c r="C45" s="54" t="s">
        <v>226</v>
      </c>
      <c r="D45" s="54" t="s">
        <v>298</v>
      </c>
      <c r="E45" s="54" t="s">
        <v>290</v>
      </c>
    </row>
    <row r="46" spans="1:5" ht="33" customHeight="1">
      <c r="A46" s="56" t="s">
        <v>299</v>
      </c>
      <c r="B46" s="56" t="s">
        <v>120</v>
      </c>
      <c r="C46" s="56" t="s">
        <v>248</v>
      </c>
      <c r="D46" s="57" t="s">
        <v>300</v>
      </c>
      <c r="E46" s="58" t="s">
        <v>301</v>
      </c>
    </row>
    <row r="47" spans="1:5" ht="33" customHeight="1">
      <c r="A47" s="59"/>
      <c r="B47" s="60" t="s">
        <v>121</v>
      </c>
      <c r="C47" s="60" t="s">
        <v>217</v>
      </c>
      <c r="D47" s="30" t="s">
        <v>302</v>
      </c>
      <c r="E47" s="30" t="s">
        <v>303</v>
      </c>
    </row>
    <row r="48" spans="1:5" ht="33" customHeight="1">
      <c r="A48" s="60"/>
      <c r="B48" s="60" t="s">
        <v>122</v>
      </c>
      <c r="C48" s="60" t="s">
        <v>217</v>
      </c>
      <c r="D48" s="30" t="s">
        <v>304</v>
      </c>
      <c r="E48" s="30" t="s">
        <v>305</v>
      </c>
    </row>
    <row r="49" spans="1:5" ht="66" customHeight="1">
      <c r="A49" s="61" t="s">
        <v>72</v>
      </c>
      <c r="B49" s="62" t="s">
        <v>5</v>
      </c>
      <c r="C49" s="62" t="s">
        <v>248</v>
      </c>
      <c r="D49" s="63" t="s">
        <v>306</v>
      </c>
      <c r="E49" s="64" t="s">
        <v>307</v>
      </c>
    </row>
    <row r="50" spans="1:5" ht="82.5" customHeight="1">
      <c r="A50" s="61"/>
      <c r="B50" s="65" t="s">
        <v>123</v>
      </c>
      <c r="C50" s="62" t="s">
        <v>217</v>
      </c>
      <c r="D50" s="63" t="s">
        <v>308</v>
      </c>
      <c r="E50" s="64" t="s">
        <v>309</v>
      </c>
    </row>
    <row r="51" spans="1:5" ht="66" customHeight="1">
      <c r="A51" s="61" t="s">
        <v>73</v>
      </c>
      <c r="B51" s="62" t="s">
        <v>124</v>
      </c>
      <c r="C51" s="62" t="s">
        <v>226</v>
      </c>
      <c r="D51" s="63" t="s">
        <v>310</v>
      </c>
      <c r="E51" s="64" t="s">
        <v>311</v>
      </c>
    </row>
    <row r="52" spans="1:5" ht="198" customHeight="1">
      <c r="A52" s="61"/>
      <c r="B52" s="62" t="s">
        <v>125</v>
      </c>
      <c r="C52" s="62" t="s">
        <v>226</v>
      </c>
      <c r="D52" s="63" t="s">
        <v>312</v>
      </c>
      <c r="E52" s="64" t="s">
        <v>313</v>
      </c>
    </row>
    <row r="53" spans="1:5" ht="49.5" customHeight="1">
      <c r="A53" s="61" t="s">
        <v>71</v>
      </c>
      <c r="B53" s="62" t="s">
        <v>75</v>
      </c>
      <c r="C53" s="62" t="s">
        <v>248</v>
      </c>
      <c r="D53" s="63" t="s">
        <v>314</v>
      </c>
      <c r="E53" s="64" t="s">
        <v>315</v>
      </c>
    </row>
    <row r="54" spans="1:5" ht="49.5" customHeight="1">
      <c r="A54" s="61"/>
      <c r="B54" s="62" t="s">
        <v>76</v>
      </c>
      <c r="C54" s="62" t="s">
        <v>217</v>
      </c>
      <c r="D54" s="63" t="s">
        <v>316</v>
      </c>
      <c r="E54" s="64" t="s">
        <v>317</v>
      </c>
    </row>
    <row r="55" spans="1:5" ht="33" customHeight="1">
      <c r="A55" s="66" t="s">
        <v>318</v>
      </c>
      <c r="B55" s="67" t="s">
        <v>126</v>
      </c>
      <c r="C55" s="67" t="s">
        <v>217</v>
      </c>
      <c r="D55" s="67" t="s">
        <v>319</v>
      </c>
      <c r="E55" s="68" t="s">
        <v>320</v>
      </c>
    </row>
    <row r="56" spans="1:5" ht="47.25" customHeight="1">
      <c r="A56" s="67"/>
      <c r="B56" s="67" t="s">
        <v>127</v>
      </c>
      <c r="C56" s="67" t="s">
        <v>217</v>
      </c>
      <c r="D56" s="67" t="s">
        <v>321</v>
      </c>
      <c r="E56" s="68" t="s">
        <v>322</v>
      </c>
    </row>
    <row r="57" spans="1:5" ht="99" customHeight="1">
      <c r="A57" s="67"/>
      <c r="B57" s="67" t="s">
        <v>128</v>
      </c>
      <c r="C57" s="67" t="s">
        <v>217</v>
      </c>
      <c r="D57" s="67" t="s">
        <v>323</v>
      </c>
      <c r="E57" s="68" t="s">
        <v>324</v>
      </c>
    </row>
    <row r="58" spans="1:5" ht="51.75" customHeight="1">
      <c r="A58" s="67"/>
      <c r="B58" s="67" t="s">
        <v>129</v>
      </c>
      <c r="C58" s="67" t="s">
        <v>217</v>
      </c>
      <c r="D58" s="67" t="s">
        <v>325</v>
      </c>
      <c r="E58" s="68" t="s">
        <v>326</v>
      </c>
    </row>
  </sheetData>
  <mergeCells count="6">
    <mergeCell ref="A27:A28"/>
    <mergeCell ref="A21:A26"/>
    <mergeCell ref="A8:A12"/>
    <mergeCell ref="A2:A7"/>
    <mergeCell ref="A13:A17"/>
    <mergeCell ref="A18:A20"/>
  </mergeCells>
  <phoneticPr fontId="2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7"/>
  <sheetViews>
    <sheetView showGridLines="0" workbookViewId="0"/>
  </sheetViews>
  <sheetFormatPr defaultColWidth="8.5" defaultRowHeight="13.5"/>
  <cols>
    <col min="1" max="2" width="12" customWidth="1"/>
    <col min="3" max="3" width="26" customWidth="1"/>
    <col min="4" max="4" width="70" customWidth="1"/>
  </cols>
  <sheetData>
    <row r="1" spans="1:4" ht="19.5" customHeight="1">
      <c r="A1" s="69" t="s">
        <v>327</v>
      </c>
      <c r="B1" s="17" t="s">
        <v>328</v>
      </c>
      <c r="C1" s="17" t="s">
        <v>329</v>
      </c>
      <c r="D1" s="17" t="s">
        <v>330</v>
      </c>
    </row>
    <row r="2" spans="1:4" ht="165" customHeight="1">
      <c r="A2" s="70" t="s">
        <v>331</v>
      </c>
      <c r="B2" s="71" t="s">
        <v>332</v>
      </c>
      <c r="C2" s="48" t="s">
        <v>97</v>
      </c>
      <c r="D2" s="49" t="s">
        <v>333</v>
      </c>
    </row>
    <row r="3" spans="1:4" ht="214.5" customHeight="1">
      <c r="A3" s="70" t="s">
        <v>41</v>
      </c>
      <c r="B3" s="71" t="s">
        <v>332</v>
      </c>
      <c r="C3" s="48" t="s">
        <v>334</v>
      </c>
      <c r="D3" s="49" t="s">
        <v>335</v>
      </c>
    </row>
    <row r="4" spans="1:4" ht="33.75" customHeight="1">
      <c r="A4" s="72" t="s">
        <v>41</v>
      </c>
      <c r="B4" s="71" t="s">
        <v>336</v>
      </c>
      <c r="C4" s="49" t="s">
        <v>337</v>
      </c>
      <c r="D4" s="49" t="s">
        <v>338</v>
      </c>
    </row>
    <row r="5" spans="1:4" ht="115.5" customHeight="1">
      <c r="A5" s="70" t="s">
        <v>339</v>
      </c>
      <c r="B5" s="71" t="s">
        <v>340</v>
      </c>
      <c r="C5" s="49" t="s">
        <v>341</v>
      </c>
      <c r="D5" s="49" t="s">
        <v>342</v>
      </c>
    </row>
    <row r="6" spans="1:4" ht="66" customHeight="1">
      <c r="A6" s="72" t="s">
        <v>41</v>
      </c>
      <c r="B6" s="71" t="s">
        <v>340</v>
      </c>
      <c r="C6" s="49" t="s">
        <v>343</v>
      </c>
      <c r="D6" s="49" t="s">
        <v>344</v>
      </c>
    </row>
    <row r="7" spans="1:4" ht="49.5" customHeight="1">
      <c r="A7" s="70" t="s">
        <v>39</v>
      </c>
      <c r="B7" s="73" t="s">
        <v>20</v>
      </c>
      <c r="C7" s="73" t="s">
        <v>345</v>
      </c>
      <c r="D7" s="74" t="s">
        <v>346</v>
      </c>
    </row>
    <row r="8" spans="1:4" ht="66" customHeight="1">
      <c r="A8" s="72" t="s">
        <v>41</v>
      </c>
      <c r="B8" s="73" t="s">
        <v>20</v>
      </c>
      <c r="C8" s="73" t="s">
        <v>99</v>
      </c>
      <c r="D8" s="74" t="s">
        <v>347</v>
      </c>
    </row>
    <row r="9" spans="1:4" ht="165" customHeight="1">
      <c r="A9" s="70" t="s">
        <v>41</v>
      </c>
      <c r="B9" s="73" t="s">
        <v>20</v>
      </c>
      <c r="C9" s="75" t="s">
        <v>100</v>
      </c>
      <c r="D9" s="74" t="s">
        <v>348</v>
      </c>
    </row>
    <row r="10" spans="1:4" ht="66" customHeight="1">
      <c r="A10" s="70" t="s">
        <v>349</v>
      </c>
      <c r="B10" s="73" t="s">
        <v>20</v>
      </c>
      <c r="C10" s="75" t="s">
        <v>350</v>
      </c>
      <c r="D10" s="76" t="s">
        <v>351</v>
      </c>
    </row>
    <row r="11" spans="1:4" ht="33" customHeight="1">
      <c r="A11" s="70" t="s">
        <v>39</v>
      </c>
      <c r="B11" s="73" t="s">
        <v>20</v>
      </c>
      <c r="C11" s="73" t="s">
        <v>352</v>
      </c>
      <c r="D11" s="74" t="s">
        <v>353</v>
      </c>
    </row>
    <row r="12" spans="1:4" ht="39" customHeight="1">
      <c r="A12" s="70" t="s">
        <v>39</v>
      </c>
      <c r="B12" s="73" t="s">
        <v>20</v>
      </c>
      <c r="C12" s="73" t="s">
        <v>354</v>
      </c>
      <c r="D12" s="76" t="s">
        <v>355</v>
      </c>
    </row>
    <row r="13" spans="1:4" ht="48" customHeight="1">
      <c r="A13" s="72" t="s">
        <v>41</v>
      </c>
      <c r="B13" s="77" t="s">
        <v>356</v>
      </c>
      <c r="C13" s="30" t="s">
        <v>357</v>
      </c>
      <c r="D13" s="30" t="s">
        <v>358</v>
      </c>
    </row>
    <row r="14" spans="1:4" ht="48" customHeight="1">
      <c r="A14" s="70" t="s">
        <v>39</v>
      </c>
      <c r="B14" s="77" t="s">
        <v>356</v>
      </c>
      <c r="C14" s="30" t="s">
        <v>359</v>
      </c>
      <c r="D14" s="30" t="s">
        <v>360</v>
      </c>
    </row>
    <row r="15" spans="1:4" ht="48" customHeight="1">
      <c r="A15" s="70" t="s">
        <v>39</v>
      </c>
      <c r="B15" s="77" t="s">
        <v>356</v>
      </c>
      <c r="C15" s="78" t="s">
        <v>361</v>
      </c>
      <c r="D15" s="30" t="s">
        <v>362</v>
      </c>
    </row>
    <row r="16" spans="1:4" ht="48" customHeight="1">
      <c r="A16" s="70" t="s">
        <v>363</v>
      </c>
      <c r="B16" s="77" t="s">
        <v>356</v>
      </c>
      <c r="C16" s="30" t="s">
        <v>364</v>
      </c>
      <c r="D16" s="78" t="s">
        <v>365</v>
      </c>
    </row>
    <row r="17" spans="1:4" ht="48" customHeight="1">
      <c r="A17" s="79" t="s">
        <v>366</v>
      </c>
      <c r="B17" s="77" t="s">
        <v>340</v>
      </c>
      <c r="C17" s="30" t="s">
        <v>367</v>
      </c>
      <c r="D17" s="30" t="s">
        <v>368</v>
      </c>
    </row>
    <row r="18" spans="1:4" ht="48" customHeight="1">
      <c r="A18" s="80" t="s">
        <v>39</v>
      </c>
      <c r="B18" s="77" t="s">
        <v>340</v>
      </c>
      <c r="C18" s="78" t="s">
        <v>369</v>
      </c>
      <c r="D18" s="30" t="s">
        <v>370</v>
      </c>
    </row>
    <row r="19" spans="1:4" ht="48" customHeight="1">
      <c r="A19" s="80" t="s">
        <v>41</v>
      </c>
      <c r="B19" s="77" t="s">
        <v>20</v>
      </c>
      <c r="C19" s="30" t="s">
        <v>371</v>
      </c>
      <c r="D19" s="30" t="s">
        <v>372</v>
      </c>
    </row>
    <row r="20" spans="1:4" ht="48" customHeight="1">
      <c r="A20" s="80" t="s">
        <v>39</v>
      </c>
      <c r="B20" s="77" t="s">
        <v>373</v>
      </c>
      <c r="C20" s="30" t="s">
        <v>374</v>
      </c>
      <c r="D20" s="30" t="s">
        <v>375</v>
      </c>
    </row>
    <row r="21" spans="1:4" ht="48" customHeight="1">
      <c r="A21" s="80" t="s">
        <v>39</v>
      </c>
      <c r="B21" s="77" t="s">
        <v>20</v>
      </c>
      <c r="C21" s="30" t="s">
        <v>376</v>
      </c>
      <c r="D21" s="30" t="s">
        <v>377</v>
      </c>
    </row>
    <row r="22" spans="1:4" ht="48" customHeight="1">
      <c r="A22" s="80" t="s">
        <v>39</v>
      </c>
      <c r="B22" s="77" t="s">
        <v>20</v>
      </c>
      <c r="C22" s="30" t="s">
        <v>378</v>
      </c>
      <c r="D22" s="78" t="s">
        <v>379</v>
      </c>
    </row>
    <row r="23" spans="1:4" ht="48" customHeight="1">
      <c r="A23" s="80" t="s">
        <v>39</v>
      </c>
      <c r="B23" s="77" t="s">
        <v>380</v>
      </c>
      <c r="C23" s="30" t="s">
        <v>381</v>
      </c>
      <c r="D23" s="30" t="s">
        <v>382</v>
      </c>
    </row>
    <row r="24" spans="1:4" ht="264" customHeight="1">
      <c r="A24" s="70" t="s">
        <v>41</v>
      </c>
      <c r="B24" s="71" t="s">
        <v>26</v>
      </c>
      <c r="C24" s="49" t="s">
        <v>383</v>
      </c>
      <c r="D24" s="49" t="s">
        <v>384</v>
      </c>
    </row>
    <row r="25" spans="1:4" ht="82.5" customHeight="1">
      <c r="A25" s="70" t="s">
        <v>39</v>
      </c>
      <c r="B25" s="71" t="s">
        <v>26</v>
      </c>
      <c r="C25" s="49" t="s">
        <v>385</v>
      </c>
      <c r="D25" s="49" t="s">
        <v>386</v>
      </c>
    </row>
    <row r="26" spans="1:4" ht="165" customHeight="1">
      <c r="A26" s="70" t="s">
        <v>39</v>
      </c>
      <c r="B26" s="71" t="s">
        <v>26</v>
      </c>
      <c r="C26" s="49" t="s">
        <v>387</v>
      </c>
      <c r="D26" s="48" t="s">
        <v>388</v>
      </c>
    </row>
    <row r="27" spans="1:4" ht="49.5" customHeight="1">
      <c r="A27" s="70" t="s">
        <v>39</v>
      </c>
      <c r="B27" s="71" t="s">
        <v>26</v>
      </c>
      <c r="C27" s="49" t="s">
        <v>389</v>
      </c>
      <c r="D27" s="49" t="s">
        <v>390</v>
      </c>
    </row>
    <row r="28" spans="1:4" ht="82.5" customHeight="1">
      <c r="A28" s="70" t="s">
        <v>391</v>
      </c>
      <c r="B28" s="71" t="s">
        <v>392</v>
      </c>
      <c r="C28" s="48" t="s">
        <v>393</v>
      </c>
      <c r="D28" s="49" t="s">
        <v>394</v>
      </c>
    </row>
    <row r="29" spans="1:4" ht="115.5" customHeight="1">
      <c r="A29" s="70" t="s">
        <v>395</v>
      </c>
      <c r="B29" s="71" t="s">
        <v>32</v>
      </c>
      <c r="C29" s="48" t="s">
        <v>396</v>
      </c>
      <c r="D29" s="49" t="s">
        <v>397</v>
      </c>
    </row>
    <row r="30" spans="1:4" ht="264" customHeight="1">
      <c r="A30" s="70" t="s">
        <v>398</v>
      </c>
      <c r="B30" s="71" t="s">
        <v>32</v>
      </c>
      <c r="C30" s="48" t="s">
        <v>399</v>
      </c>
      <c r="D30" s="49" t="s">
        <v>400</v>
      </c>
    </row>
    <row r="31" spans="1:4" ht="99" customHeight="1">
      <c r="A31" s="70" t="s">
        <v>401</v>
      </c>
      <c r="B31" s="71" t="s">
        <v>32</v>
      </c>
      <c r="C31" s="49" t="s">
        <v>402</v>
      </c>
      <c r="D31" s="49" t="s">
        <v>403</v>
      </c>
    </row>
    <row r="32" spans="1:4" ht="33" customHeight="1">
      <c r="A32" s="70" t="s">
        <v>39</v>
      </c>
      <c r="B32" s="71" t="s">
        <v>29</v>
      </c>
      <c r="C32" s="49" t="s">
        <v>404</v>
      </c>
      <c r="D32" s="49" t="s">
        <v>405</v>
      </c>
    </row>
    <row r="33" spans="1:4" ht="82.5" customHeight="1">
      <c r="A33" s="70" t="s">
        <v>41</v>
      </c>
      <c r="B33" s="71" t="s">
        <v>340</v>
      </c>
      <c r="C33" s="48" t="s">
        <v>406</v>
      </c>
      <c r="D33" s="48" t="s">
        <v>407</v>
      </c>
    </row>
    <row r="34" spans="1:4" ht="148.5" customHeight="1">
      <c r="A34" s="70" t="s">
        <v>408</v>
      </c>
      <c r="B34" s="71" t="s">
        <v>32</v>
      </c>
      <c r="C34" s="49" t="s">
        <v>409</v>
      </c>
      <c r="D34" s="49" t="s">
        <v>410</v>
      </c>
    </row>
    <row r="35" spans="1:4" ht="231" customHeight="1">
      <c r="A35" s="70" t="s">
        <v>411</v>
      </c>
      <c r="B35" s="71" t="s">
        <v>32</v>
      </c>
      <c r="C35" s="49" t="s">
        <v>412</v>
      </c>
      <c r="D35" s="48" t="s">
        <v>413</v>
      </c>
    </row>
    <row r="36" spans="1:4" ht="49.5" customHeight="1">
      <c r="A36" s="70" t="s">
        <v>366</v>
      </c>
      <c r="B36" s="71" t="s">
        <v>32</v>
      </c>
      <c r="C36" s="49" t="s">
        <v>414</v>
      </c>
      <c r="D36" s="49" t="s">
        <v>415</v>
      </c>
    </row>
    <row r="37" spans="1:4" ht="82.5" customHeight="1">
      <c r="A37" s="70" t="s">
        <v>41</v>
      </c>
      <c r="B37" s="71" t="s">
        <v>340</v>
      </c>
      <c r="C37" s="49" t="s">
        <v>416</v>
      </c>
      <c r="D37" s="48" t="s">
        <v>417</v>
      </c>
    </row>
    <row r="38" spans="1:4" ht="409.5" customHeight="1">
      <c r="A38" s="70" t="s">
        <v>418</v>
      </c>
      <c r="B38" s="71" t="s">
        <v>33</v>
      </c>
      <c r="C38" s="49" t="s">
        <v>419</v>
      </c>
      <c r="D38" s="48" t="s">
        <v>420</v>
      </c>
    </row>
    <row r="39" spans="1:4" ht="66" customHeight="1">
      <c r="A39" s="70" t="s">
        <v>41</v>
      </c>
      <c r="B39" s="71" t="s">
        <v>33</v>
      </c>
      <c r="C39" s="49" t="s">
        <v>421</v>
      </c>
      <c r="D39" s="48" t="s">
        <v>422</v>
      </c>
    </row>
    <row r="40" spans="1:4" ht="99" customHeight="1">
      <c r="A40" s="70" t="s">
        <v>41</v>
      </c>
      <c r="B40" s="71" t="s">
        <v>340</v>
      </c>
      <c r="C40" s="49" t="s">
        <v>423</v>
      </c>
      <c r="D40" s="48" t="s">
        <v>424</v>
      </c>
    </row>
    <row r="41" spans="1:4" ht="33" customHeight="1">
      <c r="A41" s="70" t="s">
        <v>41</v>
      </c>
      <c r="B41" s="71" t="s">
        <v>32</v>
      </c>
      <c r="C41" s="49" t="s">
        <v>425</v>
      </c>
      <c r="D41" s="48" t="s">
        <v>426</v>
      </c>
    </row>
    <row r="42" spans="1:4" ht="115.5" customHeight="1">
      <c r="A42" s="70" t="s">
        <v>41</v>
      </c>
      <c r="B42" s="71" t="s">
        <v>340</v>
      </c>
      <c r="C42" s="49" t="s">
        <v>427</v>
      </c>
      <c r="D42" s="48" t="s">
        <v>428</v>
      </c>
    </row>
    <row r="43" spans="1:4" ht="148.5" customHeight="1">
      <c r="A43" s="81" t="s">
        <v>429</v>
      </c>
      <c r="B43" s="71" t="s">
        <v>430</v>
      </c>
      <c r="C43" s="49" t="s">
        <v>431</v>
      </c>
      <c r="D43" s="48" t="s">
        <v>432</v>
      </c>
    </row>
    <row r="44" spans="1:4" ht="148.5" customHeight="1">
      <c r="A44" s="70" t="s">
        <v>41</v>
      </c>
      <c r="B44" s="71" t="s">
        <v>20</v>
      </c>
      <c r="C44" s="49" t="s">
        <v>433</v>
      </c>
      <c r="D44" s="48" t="s">
        <v>434</v>
      </c>
    </row>
    <row r="45" spans="1:4" ht="148.5" customHeight="1">
      <c r="A45" s="70" t="s">
        <v>41</v>
      </c>
      <c r="B45" s="71" t="s">
        <v>340</v>
      </c>
      <c r="C45" s="49" t="s">
        <v>435</v>
      </c>
      <c r="D45" s="48" t="s">
        <v>436</v>
      </c>
    </row>
    <row r="46" spans="1:4" ht="94.5" customHeight="1">
      <c r="A46" s="67" t="s">
        <v>41</v>
      </c>
      <c r="B46" s="67" t="s">
        <v>340</v>
      </c>
      <c r="C46" s="67" t="s">
        <v>437</v>
      </c>
      <c r="D46" s="68" t="s">
        <v>438</v>
      </c>
    </row>
    <row r="47" spans="1:4" ht="113.25" customHeight="1">
      <c r="A47" s="67" t="s">
        <v>41</v>
      </c>
      <c r="B47" s="67" t="s">
        <v>340</v>
      </c>
      <c r="C47" s="67" t="s">
        <v>439</v>
      </c>
      <c r="D47" s="68" t="s">
        <v>440</v>
      </c>
    </row>
    <row r="48" spans="1:4" ht="51.75" customHeight="1">
      <c r="A48" s="67" t="s">
        <v>41</v>
      </c>
      <c r="B48" s="67" t="s">
        <v>340</v>
      </c>
      <c r="C48" s="67" t="s">
        <v>441</v>
      </c>
      <c r="D48" s="68" t="s">
        <v>442</v>
      </c>
    </row>
    <row r="49" spans="1:4" ht="80.25" customHeight="1">
      <c r="A49" s="67" t="s">
        <v>41</v>
      </c>
      <c r="B49" s="67" t="s">
        <v>430</v>
      </c>
      <c r="C49" s="67" t="s">
        <v>443</v>
      </c>
      <c r="D49" s="68" t="s">
        <v>444</v>
      </c>
    </row>
    <row r="50" spans="1:4" ht="80.25" customHeight="1">
      <c r="A50" s="67" t="s">
        <v>366</v>
      </c>
      <c r="B50" s="67" t="s">
        <v>445</v>
      </c>
      <c r="C50" s="67" t="s">
        <v>446</v>
      </c>
      <c r="D50" s="68" t="s">
        <v>447</v>
      </c>
    </row>
    <row r="51" spans="1:4" ht="80.25" customHeight="1">
      <c r="A51" s="67" t="s">
        <v>448</v>
      </c>
      <c r="B51" s="67" t="s">
        <v>430</v>
      </c>
      <c r="C51" s="67" t="s">
        <v>449</v>
      </c>
      <c r="D51" s="68" t="s">
        <v>450</v>
      </c>
    </row>
    <row r="52" spans="1:4" ht="80.25" customHeight="1">
      <c r="A52" s="67" t="s">
        <v>41</v>
      </c>
      <c r="B52" s="67" t="s">
        <v>451</v>
      </c>
      <c r="C52" s="67" t="s">
        <v>452</v>
      </c>
      <c r="D52" s="68" t="s">
        <v>453</v>
      </c>
    </row>
    <row r="53" spans="1:4" ht="99.95" customHeight="1">
      <c r="A53" s="84" t="s">
        <v>454</v>
      </c>
      <c r="B53" s="84" t="s">
        <v>455</v>
      </c>
      <c r="C53" s="84" t="s">
        <v>456</v>
      </c>
      <c r="D53" s="28" t="s">
        <v>457</v>
      </c>
    </row>
    <row r="54" spans="1:4" ht="99.95" customHeight="1">
      <c r="A54" s="84" t="s">
        <v>458</v>
      </c>
      <c r="B54" s="84" t="s">
        <v>459</v>
      </c>
      <c r="C54" s="84" t="s">
        <v>460</v>
      </c>
      <c r="D54" s="28" t="s">
        <v>461</v>
      </c>
    </row>
    <row r="55" spans="1:4" ht="99.95" customHeight="1">
      <c r="A55" s="84" t="s">
        <v>462</v>
      </c>
      <c r="B55" s="84" t="s">
        <v>340</v>
      </c>
      <c r="C55" s="85" t="s">
        <v>463</v>
      </c>
      <c r="D55" s="28" t="s">
        <v>464</v>
      </c>
    </row>
    <row r="56" spans="1:4" ht="99.95" customHeight="1">
      <c r="A56" s="84" t="s">
        <v>462</v>
      </c>
      <c r="B56" s="84" t="s">
        <v>340</v>
      </c>
      <c r="C56" s="84" t="s">
        <v>465</v>
      </c>
      <c r="D56" s="28" t="s">
        <v>466</v>
      </c>
    </row>
    <row r="57" spans="1:4" ht="99.95" customHeight="1">
      <c r="A57" s="84" t="s">
        <v>462</v>
      </c>
      <c r="B57" s="84" t="s">
        <v>340</v>
      </c>
      <c r="C57" s="84" t="s">
        <v>467</v>
      </c>
      <c r="D57" s="28" t="s">
        <v>468</v>
      </c>
    </row>
  </sheetData>
  <phoneticPr fontId="2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6"/>
  <sheetViews>
    <sheetView showGridLines="0" workbookViewId="0">
      <selection sqref="A1:XFD1048576"/>
    </sheetView>
  </sheetViews>
  <sheetFormatPr defaultColWidth="8.5" defaultRowHeight="13.5"/>
  <cols>
    <col min="1" max="1" width="12" customWidth="1"/>
    <col min="2" max="3" width="16" customWidth="1"/>
    <col min="4" max="4" width="10" customWidth="1"/>
    <col min="5" max="5" width="16" customWidth="1"/>
    <col min="6" max="6" width="12" customWidth="1"/>
    <col min="7" max="7" width="46" customWidth="1"/>
  </cols>
  <sheetData>
    <row r="1" spans="1:7" ht="19.5" customHeight="1">
      <c r="A1" s="17" t="s">
        <v>3</v>
      </c>
      <c r="B1" s="17" t="s">
        <v>4</v>
      </c>
      <c r="C1" s="17" t="s">
        <v>469</v>
      </c>
      <c r="D1" s="17" t="s">
        <v>470</v>
      </c>
      <c r="E1" s="17" t="s">
        <v>471</v>
      </c>
      <c r="F1" s="17" t="s">
        <v>472</v>
      </c>
      <c r="G1" s="17" t="s">
        <v>207</v>
      </c>
    </row>
    <row r="2" spans="1:7" ht="16.5" customHeight="1">
      <c r="A2" s="82" t="s">
        <v>16</v>
      </c>
      <c r="B2" s="60" t="s">
        <v>17</v>
      </c>
      <c r="C2" s="59" t="s">
        <v>473</v>
      </c>
      <c r="D2" s="82">
        <v>90</v>
      </c>
      <c r="E2" s="59" t="s">
        <v>474</v>
      </c>
      <c r="F2" s="83" t="s">
        <v>366</v>
      </c>
      <c r="G2" s="30" t="s">
        <v>475</v>
      </c>
    </row>
    <row r="3" spans="1:7" ht="16.5" customHeight="1">
      <c r="A3" s="82" t="s">
        <v>16</v>
      </c>
      <c r="B3" s="60" t="s">
        <v>17</v>
      </c>
      <c r="C3" s="59" t="s">
        <v>476</v>
      </c>
      <c r="D3" s="82">
        <v>90</v>
      </c>
      <c r="E3" s="59" t="s">
        <v>474</v>
      </c>
      <c r="F3" s="83" t="s">
        <v>366</v>
      </c>
      <c r="G3" s="30" t="s">
        <v>475</v>
      </c>
    </row>
    <row r="4" spans="1:7" ht="16.5" customHeight="1">
      <c r="A4" s="82" t="s">
        <v>16</v>
      </c>
      <c r="B4" s="60" t="s">
        <v>17</v>
      </c>
      <c r="C4" s="59" t="s">
        <v>477</v>
      </c>
      <c r="D4" s="82">
        <v>90</v>
      </c>
      <c r="E4" s="59" t="s">
        <v>474</v>
      </c>
      <c r="F4" s="83" t="s">
        <v>366</v>
      </c>
      <c r="G4" s="30" t="s">
        <v>475</v>
      </c>
    </row>
    <row r="5" spans="1:7" ht="16.5" customHeight="1">
      <c r="A5" s="82" t="s">
        <v>16</v>
      </c>
      <c r="B5" s="60" t="s">
        <v>17</v>
      </c>
      <c r="C5" s="59" t="s">
        <v>478</v>
      </c>
      <c r="D5" s="82">
        <v>90</v>
      </c>
      <c r="E5" s="59" t="s">
        <v>474</v>
      </c>
      <c r="F5" s="83" t="s">
        <v>366</v>
      </c>
      <c r="G5" s="30" t="s">
        <v>475</v>
      </c>
    </row>
    <row r="6" spans="1:7" ht="16.5" customHeight="1">
      <c r="A6" s="82" t="s">
        <v>16</v>
      </c>
      <c r="B6" s="60" t="s">
        <v>17</v>
      </c>
      <c r="C6" s="59" t="s">
        <v>479</v>
      </c>
      <c r="D6" s="82">
        <v>90</v>
      </c>
      <c r="E6" s="59" t="s">
        <v>474</v>
      </c>
      <c r="F6" s="83" t="s">
        <v>366</v>
      </c>
      <c r="G6" s="30" t="s">
        <v>475</v>
      </c>
    </row>
    <row r="7" spans="1:7" ht="16.5" customHeight="1">
      <c r="A7" s="82" t="s">
        <v>16</v>
      </c>
      <c r="B7" s="60" t="s">
        <v>17</v>
      </c>
      <c r="C7" s="59" t="s">
        <v>480</v>
      </c>
      <c r="D7" s="82">
        <v>90</v>
      </c>
      <c r="E7" s="59" t="s">
        <v>474</v>
      </c>
      <c r="F7" s="83" t="s">
        <v>366</v>
      </c>
      <c r="G7" s="30" t="s">
        <v>475</v>
      </c>
    </row>
    <row r="8" spans="1:7" ht="16.5" customHeight="1">
      <c r="A8" s="82" t="s">
        <v>16</v>
      </c>
      <c r="B8" s="60" t="s">
        <v>17</v>
      </c>
      <c r="C8" s="59" t="s">
        <v>481</v>
      </c>
      <c r="D8" s="82">
        <v>90</v>
      </c>
      <c r="E8" s="59" t="s">
        <v>474</v>
      </c>
      <c r="F8" s="83" t="s">
        <v>366</v>
      </c>
      <c r="G8" s="30" t="s">
        <v>475</v>
      </c>
    </row>
    <row r="9" spans="1:7" ht="16.5" customHeight="1">
      <c r="A9" s="82" t="s">
        <v>16</v>
      </c>
      <c r="B9" s="60" t="s">
        <v>17</v>
      </c>
      <c r="C9" s="59" t="s">
        <v>482</v>
      </c>
      <c r="D9" s="82">
        <v>90</v>
      </c>
      <c r="E9" s="59" t="s">
        <v>474</v>
      </c>
      <c r="F9" s="83" t="s">
        <v>366</v>
      </c>
      <c r="G9" s="30" t="s">
        <v>475</v>
      </c>
    </row>
    <row r="10" spans="1:7" ht="16.5" customHeight="1">
      <c r="A10" s="82" t="s">
        <v>16</v>
      </c>
      <c r="B10" s="60" t="s">
        <v>17</v>
      </c>
      <c r="C10" s="59" t="s">
        <v>483</v>
      </c>
      <c r="D10" s="82">
        <v>90</v>
      </c>
      <c r="E10" s="59" t="s">
        <v>474</v>
      </c>
      <c r="F10" s="83" t="s">
        <v>366</v>
      </c>
      <c r="G10" s="30" t="s">
        <v>475</v>
      </c>
    </row>
    <row r="11" spans="1:7" ht="16.5" customHeight="1">
      <c r="A11" s="82" t="s">
        <v>22</v>
      </c>
      <c r="B11" s="60" t="s">
        <v>23</v>
      </c>
      <c r="C11" s="59" t="s">
        <v>473</v>
      </c>
      <c r="D11" s="82">
        <v>365</v>
      </c>
      <c r="E11" s="59" t="s">
        <v>484</v>
      </c>
      <c r="F11" s="83" t="s">
        <v>366</v>
      </c>
      <c r="G11" s="30" t="s">
        <v>475</v>
      </c>
    </row>
    <row r="12" spans="1:7" ht="16.5" customHeight="1">
      <c r="A12" s="82" t="s">
        <v>22</v>
      </c>
      <c r="B12" s="60" t="s">
        <v>23</v>
      </c>
      <c r="C12" s="59" t="s">
        <v>476</v>
      </c>
      <c r="D12" s="82">
        <v>90</v>
      </c>
      <c r="E12" s="59" t="s">
        <v>474</v>
      </c>
      <c r="F12" s="83" t="s">
        <v>366</v>
      </c>
      <c r="G12" s="30" t="s">
        <v>475</v>
      </c>
    </row>
    <row r="13" spans="1:7" ht="16.5" customHeight="1">
      <c r="A13" s="82" t="s">
        <v>22</v>
      </c>
      <c r="B13" s="60" t="s">
        <v>23</v>
      </c>
      <c r="C13" s="59" t="s">
        <v>477</v>
      </c>
      <c r="D13" s="82">
        <v>90</v>
      </c>
      <c r="E13" s="59" t="s">
        <v>474</v>
      </c>
      <c r="F13" s="83" t="s">
        <v>366</v>
      </c>
      <c r="G13" s="30" t="s">
        <v>475</v>
      </c>
    </row>
    <row r="14" spans="1:7" ht="16.5" customHeight="1">
      <c r="A14" s="82" t="s">
        <v>22</v>
      </c>
      <c r="B14" s="60" t="s">
        <v>23</v>
      </c>
      <c r="C14" s="59" t="s">
        <v>478</v>
      </c>
      <c r="D14" s="82">
        <v>90</v>
      </c>
      <c r="E14" s="59" t="s">
        <v>474</v>
      </c>
      <c r="F14" s="83" t="s">
        <v>366</v>
      </c>
      <c r="G14" s="30" t="s">
        <v>475</v>
      </c>
    </row>
    <row r="15" spans="1:7" ht="16.5" customHeight="1">
      <c r="A15" s="82" t="s">
        <v>22</v>
      </c>
      <c r="B15" s="60" t="s">
        <v>23</v>
      </c>
      <c r="C15" s="59" t="s">
        <v>479</v>
      </c>
      <c r="D15" s="82">
        <v>365</v>
      </c>
      <c r="E15" s="59" t="s">
        <v>484</v>
      </c>
      <c r="F15" s="83" t="s">
        <v>366</v>
      </c>
      <c r="G15" s="30" t="s">
        <v>475</v>
      </c>
    </row>
    <row r="16" spans="1:7" ht="16.5" customHeight="1">
      <c r="A16" s="82" t="s">
        <v>22</v>
      </c>
      <c r="B16" s="60" t="s">
        <v>23</v>
      </c>
      <c r="C16" s="59" t="s">
        <v>480</v>
      </c>
      <c r="D16" s="82">
        <v>90</v>
      </c>
      <c r="E16" s="59" t="s">
        <v>474</v>
      </c>
      <c r="F16" s="83" t="s">
        <v>366</v>
      </c>
      <c r="G16" s="30" t="s">
        <v>475</v>
      </c>
    </row>
    <row r="17" spans="1:7" ht="16.5" customHeight="1">
      <c r="A17" s="82" t="s">
        <v>22</v>
      </c>
      <c r="B17" s="60" t="s">
        <v>23</v>
      </c>
      <c r="C17" s="59" t="s">
        <v>481</v>
      </c>
      <c r="D17" s="82">
        <v>90</v>
      </c>
      <c r="E17" s="59" t="s">
        <v>474</v>
      </c>
      <c r="F17" s="83" t="s">
        <v>366</v>
      </c>
      <c r="G17" s="30" t="s">
        <v>475</v>
      </c>
    </row>
    <row r="18" spans="1:7" ht="16.5" customHeight="1">
      <c r="A18" s="82" t="s">
        <v>22</v>
      </c>
      <c r="B18" s="60" t="s">
        <v>23</v>
      </c>
      <c r="C18" s="59" t="s">
        <v>482</v>
      </c>
      <c r="D18" s="82">
        <v>90</v>
      </c>
      <c r="E18" s="59" t="s">
        <v>474</v>
      </c>
      <c r="F18" s="83" t="s">
        <v>366</v>
      </c>
      <c r="G18" s="30" t="s">
        <v>475</v>
      </c>
    </row>
    <row r="19" spans="1:7" ht="16.5" customHeight="1">
      <c r="A19" s="82" t="s">
        <v>22</v>
      </c>
      <c r="B19" s="60" t="s">
        <v>23</v>
      </c>
      <c r="C19" s="59" t="s">
        <v>483</v>
      </c>
      <c r="D19" s="82">
        <v>90</v>
      </c>
      <c r="E19" s="59" t="s">
        <v>474</v>
      </c>
      <c r="F19" s="83" t="s">
        <v>366</v>
      </c>
      <c r="G19" s="30" t="s">
        <v>475</v>
      </c>
    </row>
    <row r="20" spans="1:7" ht="16.5" customHeight="1">
      <c r="A20" s="82" t="s">
        <v>22</v>
      </c>
      <c r="B20" s="60" t="s">
        <v>23</v>
      </c>
      <c r="C20" s="59" t="s">
        <v>485</v>
      </c>
      <c r="D20" s="82">
        <v>90</v>
      </c>
      <c r="E20" s="59" t="s">
        <v>474</v>
      </c>
      <c r="F20" s="83" t="s">
        <v>366</v>
      </c>
      <c r="G20" s="30" t="s">
        <v>475</v>
      </c>
    </row>
    <row r="21" spans="1:7" ht="16.5" customHeight="1">
      <c r="A21" s="82" t="s">
        <v>22</v>
      </c>
      <c r="B21" s="60" t="s">
        <v>23</v>
      </c>
      <c r="C21" s="59" t="s">
        <v>486</v>
      </c>
      <c r="D21" s="82">
        <v>90</v>
      </c>
      <c r="E21" s="59" t="s">
        <v>474</v>
      </c>
      <c r="F21" s="83" t="s">
        <v>366</v>
      </c>
      <c r="G21" s="30" t="s">
        <v>475</v>
      </c>
    </row>
    <row r="22" spans="1:7" ht="16.5" customHeight="1">
      <c r="A22" s="82" t="s">
        <v>22</v>
      </c>
      <c r="B22" s="60" t="s">
        <v>23</v>
      </c>
      <c r="C22" s="59" t="s">
        <v>487</v>
      </c>
      <c r="D22" s="82">
        <v>90</v>
      </c>
      <c r="E22" s="59" t="s">
        <v>474</v>
      </c>
      <c r="F22" s="83" t="s">
        <v>366</v>
      </c>
      <c r="G22" s="30" t="s">
        <v>475</v>
      </c>
    </row>
    <row r="23" spans="1:7" ht="16.5" customHeight="1">
      <c r="A23" s="82" t="s">
        <v>22</v>
      </c>
      <c r="B23" s="60" t="s">
        <v>23</v>
      </c>
      <c r="C23" s="59" t="s">
        <v>488</v>
      </c>
      <c r="D23" s="82">
        <v>90</v>
      </c>
      <c r="E23" s="59" t="s">
        <v>474</v>
      </c>
      <c r="F23" s="83" t="s">
        <v>366</v>
      </c>
      <c r="G23" s="30" t="s">
        <v>475</v>
      </c>
    </row>
    <row r="24" spans="1:7" ht="16.5" customHeight="1">
      <c r="A24" s="82" t="s">
        <v>22</v>
      </c>
      <c r="B24" s="60" t="s">
        <v>23</v>
      </c>
      <c r="C24" s="59" t="s">
        <v>489</v>
      </c>
      <c r="D24" s="82">
        <v>90</v>
      </c>
      <c r="E24" s="59" t="s">
        <v>474</v>
      </c>
      <c r="F24" s="83" t="s">
        <v>366</v>
      </c>
      <c r="G24" s="30" t="s">
        <v>475</v>
      </c>
    </row>
    <row r="25" spans="1:7" ht="16.5" customHeight="1">
      <c r="A25" s="82" t="s">
        <v>22</v>
      </c>
      <c r="B25" s="60" t="s">
        <v>23</v>
      </c>
      <c r="C25" s="59" t="s">
        <v>490</v>
      </c>
      <c r="D25" s="82">
        <v>90</v>
      </c>
      <c r="E25" s="59" t="s">
        <v>474</v>
      </c>
      <c r="F25" s="83" t="s">
        <v>366</v>
      </c>
      <c r="G25" s="30" t="s">
        <v>475</v>
      </c>
    </row>
    <row r="26" spans="1:7" ht="16.5" customHeight="1">
      <c r="A26" s="82" t="s">
        <v>22</v>
      </c>
      <c r="B26" s="60" t="s">
        <v>23</v>
      </c>
      <c r="C26" s="59" t="s">
        <v>491</v>
      </c>
      <c r="D26" s="82">
        <v>365</v>
      </c>
      <c r="E26" s="59" t="s">
        <v>484</v>
      </c>
      <c r="F26" s="83" t="s">
        <v>366</v>
      </c>
      <c r="G26" s="30" t="s">
        <v>475</v>
      </c>
    </row>
    <row r="27" spans="1:7" ht="16.5" customHeight="1">
      <c r="A27" s="82" t="s">
        <v>22</v>
      </c>
      <c r="B27" s="60" t="s">
        <v>23</v>
      </c>
      <c r="C27" s="59" t="s">
        <v>492</v>
      </c>
      <c r="D27" s="82">
        <v>90</v>
      </c>
      <c r="E27" s="59" t="s">
        <v>474</v>
      </c>
      <c r="F27" s="83" t="s">
        <v>366</v>
      </c>
      <c r="G27" s="30" t="s">
        <v>475</v>
      </c>
    </row>
    <row r="28" spans="1:7" ht="16.5" customHeight="1">
      <c r="A28" s="82" t="s">
        <v>22</v>
      </c>
      <c r="B28" s="60" t="s">
        <v>23</v>
      </c>
      <c r="C28" s="59" t="s">
        <v>493</v>
      </c>
      <c r="D28" s="82">
        <v>90</v>
      </c>
      <c r="E28" s="59" t="s">
        <v>474</v>
      </c>
      <c r="F28" s="83" t="s">
        <v>366</v>
      </c>
      <c r="G28" s="30" t="s">
        <v>475</v>
      </c>
    </row>
    <row r="29" spans="1:7" ht="16.5" customHeight="1">
      <c r="A29" s="82" t="s">
        <v>22</v>
      </c>
      <c r="B29" s="60" t="s">
        <v>23</v>
      </c>
      <c r="C29" s="59" t="s">
        <v>494</v>
      </c>
      <c r="D29" s="82">
        <v>90</v>
      </c>
      <c r="E29" s="59" t="s">
        <v>474</v>
      </c>
      <c r="F29" s="83" t="s">
        <v>366</v>
      </c>
      <c r="G29" s="30" t="s">
        <v>475</v>
      </c>
    </row>
    <row r="30" spans="1:7" ht="16.5" customHeight="1">
      <c r="A30" s="82" t="s">
        <v>22</v>
      </c>
      <c r="B30" s="60" t="s">
        <v>23</v>
      </c>
      <c r="C30" s="59" t="s">
        <v>495</v>
      </c>
      <c r="D30" s="82">
        <v>90</v>
      </c>
      <c r="E30" s="59" t="s">
        <v>474</v>
      </c>
      <c r="F30" s="83" t="s">
        <v>366</v>
      </c>
      <c r="G30" s="30" t="s">
        <v>475</v>
      </c>
    </row>
    <row r="31" spans="1:7" ht="16.5" customHeight="1">
      <c r="A31" s="82" t="s">
        <v>22</v>
      </c>
      <c r="B31" s="60" t="s">
        <v>23</v>
      </c>
      <c r="C31" s="59" t="s">
        <v>496</v>
      </c>
      <c r="D31" s="82">
        <v>90</v>
      </c>
      <c r="E31" s="59" t="s">
        <v>474</v>
      </c>
      <c r="F31" s="83" t="s">
        <v>366</v>
      </c>
      <c r="G31" s="30" t="s">
        <v>475</v>
      </c>
    </row>
    <row r="32" spans="1:7" ht="16.5" customHeight="1">
      <c r="A32" s="82" t="s">
        <v>22</v>
      </c>
      <c r="B32" s="60" t="s">
        <v>23</v>
      </c>
      <c r="C32" s="59" t="s">
        <v>497</v>
      </c>
      <c r="D32" s="82">
        <v>90</v>
      </c>
      <c r="E32" s="59" t="s">
        <v>474</v>
      </c>
      <c r="F32" s="83" t="s">
        <v>366</v>
      </c>
      <c r="G32" s="30" t="s">
        <v>475</v>
      </c>
    </row>
    <row r="33" spans="1:7" ht="16.5" customHeight="1">
      <c r="A33" s="82" t="s">
        <v>22</v>
      </c>
      <c r="B33" s="60" t="s">
        <v>23</v>
      </c>
      <c r="C33" s="59" t="s">
        <v>498</v>
      </c>
      <c r="D33" s="82">
        <v>90</v>
      </c>
      <c r="E33" s="59" t="s">
        <v>474</v>
      </c>
      <c r="F33" s="83" t="s">
        <v>366</v>
      </c>
      <c r="G33" s="30" t="s">
        <v>475</v>
      </c>
    </row>
    <row r="34" spans="1:7" ht="16.5" customHeight="1">
      <c r="A34" s="82" t="s">
        <v>22</v>
      </c>
      <c r="B34" s="60" t="s">
        <v>23</v>
      </c>
      <c r="C34" s="59" t="s">
        <v>499</v>
      </c>
      <c r="D34" s="82">
        <v>90</v>
      </c>
      <c r="E34" s="59" t="s">
        <v>474</v>
      </c>
      <c r="F34" s="83" t="s">
        <v>366</v>
      </c>
      <c r="G34" s="30" t="s">
        <v>475</v>
      </c>
    </row>
    <row r="35" spans="1:7" ht="16.5" customHeight="1">
      <c r="A35" s="82" t="s">
        <v>22</v>
      </c>
      <c r="B35" s="60" t="s">
        <v>23</v>
      </c>
      <c r="C35" s="59" t="s">
        <v>500</v>
      </c>
      <c r="D35" s="82">
        <v>90</v>
      </c>
      <c r="E35" s="59" t="s">
        <v>474</v>
      </c>
      <c r="F35" s="83" t="s">
        <v>366</v>
      </c>
      <c r="G35" s="30" t="s">
        <v>475</v>
      </c>
    </row>
    <row r="36" spans="1:7" ht="16.5" customHeight="1">
      <c r="A36" s="82" t="s">
        <v>8</v>
      </c>
      <c r="B36" s="60" t="s">
        <v>9</v>
      </c>
      <c r="C36" s="59" t="s">
        <v>473</v>
      </c>
      <c r="D36" s="82">
        <v>90</v>
      </c>
      <c r="E36" s="59" t="s">
        <v>474</v>
      </c>
      <c r="F36" s="83" t="s">
        <v>366</v>
      </c>
      <c r="G36" s="30" t="s">
        <v>475</v>
      </c>
    </row>
    <row r="37" spans="1:7" ht="16.5" customHeight="1">
      <c r="A37" s="82" t="s">
        <v>8</v>
      </c>
      <c r="B37" s="60" t="s">
        <v>9</v>
      </c>
      <c r="C37" s="59" t="s">
        <v>476</v>
      </c>
      <c r="D37" s="82">
        <v>90</v>
      </c>
      <c r="E37" s="59" t="s">
        <v>474</v>
      </c>
      <c r="F37" s="83" t="s">
        <v>366</v>
      </c>
      <c r="G37" s="30" t="s">
        <v>475</v>
      </c>
    </row>
    <row r="38" spans="1:7" ht="16.5" customHeight="1">
      <c r="A38" s="82" t="s">
        <v>8</v>
      </c>
      <c r="B38" s="60" t="s">
        <v>9</v>
      </c>
      <c r="C38" s="59" t="s">
        <v>477</v>
      </c>
      <c r="D38" s="82">
        <v>90</v>
      </c>
      <c r="E38" s="59" t="s">
        <v>474</v>
      </c>
      <c r="F38" s="83" t="s">
        <v>366</v>
      </c>
      <c r="G38" s="30" t="s">
        <v>475</v>
      </c>
    </row>
    <row r="39" spans="1:7" ht="16.5" customHeight="1">
      <c r="A39" s="82" t="s">
        <v>8</v>
      </c>
      <c r="B39" s="60" t="s">
        <v>9</v>
      </c>
      <c r="C39" s="59" t="s">
        <v>478</v>
      </c>
      <c r="D39" s="82">
        <v>90</v>
      </c>
      <c r="E39" s="59" t="s">
        <v>474</v>
      </c>
      <c r="F39" s="83" t="s">
        <v>366</v>
      </c>
      <c r="G39" s="30" t="s">
        <v>475</v>
      </c>
    </row>
    <row r="40" spans="1:7" ht="16.5" customHeight="1">
      <c r="A40" s="82" t="s">
        <v>8</v>
      </c>
      <c r="B40" s="60" t="s">
        <v>9</v>
      </c>
      <c r="C40" s="59" t="s">
        <v>479</v>
      </c>
      <c r="D40" s="82">
        <v>90</v>
      </c>
      <c r="E40" s="59" t="s">
        <v>474</v>
      </c>
      <c r="F40" s="83" t="s">
        <v>366</v>
      </c>
      <c r="G40" s="30" t="s">
        <v>475</v>
      </c>
    </row>
    <row r="41" spans="1:7" ht="16.5" customHeight="1">
      <c r="A41" s="82" t="s">
        <v>8</v>
      </c>
      <c r="B41" s="60" t="s">
        <v>9</v>
      </c>
      <c r="C41" s="59" t="s">
        <v>480</v>
      </c>
      <c r="D41" s="82">
        <v>90</v>
      </c>
      <c r="E41" s="59" t="s">
        <v>474</v>
      </c>
      <c r="F41" s="83" t="s">
        <v>366</v>
      </c>
      <c r="G41" s="30" t="s">
        <v>475</v>
      </c>
    </row>
    <row r="42" spans="1:7" ht="16.5" customHeight="1">
      <c r="A42" s="82" t="s">
        <v>8</v>
      </c>
      <c r="B42" s="60" t="s">
        <v>9</v>
      </c>
      <c r="C42" s="59" t="s">
        <v>481</v>
      </c>
      <c r="D42" s="82">
        <v>90</v>
      </c>
      <c r="E42" s="59" t="s">
        <v>474</v>
      </c>
      <c r="F42" s="83" t="s">
        <v>366</v>
      </c>
      <c r="G42" s="30" t="s">
        <v>475</v>
      </c>
    </row>
    <row r="43" spans="1:7" ht="16.5" customHeight="1">
      <c r="A43" s="82" t="s">
        <v>8</v>
      </c>
      <c r="B43" s="60" t="s">
        <v>9</v>
      </c>
      <c r="C43" s="59" t="s">
        <v>482</v>
      </c>
      <c r="D43" s="82">
        <v>90</v>
      </c>
      <c r="E43" s="59" t="s">
        <v>474</v>
      </c>
      <c r="F43" s="83" t="s">
        <v>366</v>
      </c>
      <c r="G43" s="30" t="s">
        <v>475</v>
      </c>
    </row>
    <row r="44" spans="1:7" ht="16.5" customHeight="1">
      <c r="A44" s="82" t="s">
        <v>8</v>
      </c>
      <c r="B44" s="60" t="s">
        <v>9</v>
      </c>
      <c r="C44" s="59" t="s">
        <v>483</v>
      </c>
      <c r="D44" s="82">
        <v>90</v>
      </c>
      <c r="E44" s="59" t="s">
        <v>474</v>
      </c>
      <c r="F44" s="83" t="s">
        <v>366</v>
      </c>
      <c r="G44" s="30" t="s">
        <v>475</v>
      </c>
    </row>
    <row r="45" spans="1:7" ht="16.5" customHeight="1">
      <c r="A45" s="82" t="s">
        <v>8</v>
      </c>
      <c r="B45" s="60" t="s">
        <v>9</v>
      </c>
      <c r="C45" s="59" t="s">
        <v>485</v>
      </c>
      <c r="D45" s="82">
        <v>90</v>
      </c>
      <c r="E45" s="59" t="s">
        <v>474</v>
      </c>
      <c r="F45" s="83" t="s">
        <v>366</v>
      </c>
      <c r="G45" s="30" t="s">
        <v>475</v>
      </c>
    </row>
    <row r="46" spans="1:7" ht="16.5" customHeight="1">
      <c r="A46" s="82" t="s">
        <v>8</v>
      </c>
      <c r="B46" s="60" t="s">
        <v>9</v>
      </c>
      <c r="C46" s="59" t="s">
        <v>486</v>
      </c>
      <c r="D46" s="82">
        <v>90</v>
      </c>
      <c r="E46" s="59" t="s">
        <v>474</v>
      </c>
      <c r="F46" s="83" t="s">
        <v>366</v>
      </c>
      <c r="G46" s="30" t="s">
        <v>475</v>
      </c>
    </row>
    <row r="47" spans="1:7" ht="16.5" customHeight="1">
      <c r="A47" s="82" t="s">
        <v>8</v>
      </c>
      <c r="B47" s="60" t="s">
        <v>9</v>
      </c>
      <c r="C47" s="59" t="s">
        <v>487</v>
      </c>
      <c r="D47" s="82">
        <v>90</v>
      </c>
      <c r="E47" s="59" t="s">
        <v>474</v>
      </c>
      <c r="F47" s="83" t="s">
        <v>366</v>
      </c>
      <c r="G47" s="30" t="s">
        <v>475</v>
      </c>
    </row>
    <row r="48" spans="1:7" ht="16.5" customHeight="1">
      <c r="A48" s="82" t="s">
        <v>8</v>
      </c>
      <c r="B48" s="60" t="s">
        <v>9</v>
      </c>
      <c r="C48" s="59" t="s">
        <v>488</v>
      </c>
      <c r="D48" s="82">
        <v>90</v>
      </c>
      <c r="E48" s="59" t="s">
        <v>474</v>
      </c>
      <c r="F48" s="83" t="s">
        <v>366</v>
      </c>
      <c r="G48" s="30" t="s">
        <v>475</v>
      </c>
    </row>
    <row r="49" spans="1:7" ht="16.5" customHeight="1">
      <c r="A49" s="82" t="s">
        <v>8</v>
      </c>
      <c r="B49" s="60" t="s">
        <v>9</v>
      </c>
      <c r="C49" s="59" t="s">
        <v>489</v>
      </c>
      <c r="D49" s="82">
        <v>90</v>
      </c>
      <c r="E49" s="59" t="s">
        <v>474</v>
      </c>
      <c r="F49" s="83" t="s">
        <v>366</v>
      </c>
      <c r="G49" s="30" t="s">
        <v>475</v>
      </c>
    </row>
    <row r="50" spans="1:7" ht="16.5" customHeight="1">
      <c r="A50" s="82" t="s">
        <v>8</v>
      </c>
      <c r="B50" s="60" t="s">
        <v>9</v>
      </c>
      <c r="C50" s="59" t="s">
        <v>490</v>
      </c>
      <c r="D50" s="82">
        <v>90</v>
      </c>
      <c r="E50" s="59" t="s">
        <v>474</v>
      </c>
      <c r="F50" s="83" t="s">
        <v>366</v>
      </c>
      <c r="G50" s="30" t="s">
        <v>475</v>
      </c>
    </row>
    <row r="51" spans="1:7" ht="16.5" customHeight="1">
      <c r="A51" s="82" t="s">
        <v>8</v>
      </c>
      <c r="B51" s="60" t="s">
        <v>9</v>
      </c>
      <c r="C51" s="59" t="s">
        <v>491</v>
      </c>
      <c r="D51" s="82">
        <v>90</v>
      </c>
      <c r="E51" s="59" t="s">
        <v>474</v>
      </c>
      <c r="F51" s="83" t="s">
        <v>366</v>
      </c>
      <c r="G51" s="30" t="s">
        <v>475</v>
      </c>
    </row>
    <row r="52" spans="1:7" ht="16.5" customHeight="1">
      <c r="A52" s="82" t="s">
        <v>8</v>
      </c>
      <c r="B52" s="60" t="s">
        <v>9</v>
      </c>
      <c r="C52" s="59" t="s">
        <v>492</v>
      </c>
      <c r="D52" s="82">
        <v>90</v>
      </c>
      <c r="E52" s="59" t="s">
        <v>474</v>
      </c>
      <c r="F52" s="83" t="s">
        <v>366</v>
      </c>
      <c r="G52" s="30" t="s">
        <v>475</v>
      </c>
    </row>
    <row r="53" spans="1:7" ht="16.5" customHeight="1">
      <c r="A53" s="82" t="s">
        <v>8</v>
      </c>
      <c r="B53" s="60" t="s">
        <v>9</v>
      </c>
      <c r="C53" s="59" t="s">
        <v>493</v>
      </c>
      <c r="D53" s="82">
        <v>90</v>
      </c>
      <c r="E53" s="59" t="s">
        <v>474</v>
      </c>
      <c r="F53" s="83" t="s">
        <v>366</v>
      </c>
      <c r="G53" s="30" t="s">
        <v>475</v>
      </c>
    </row>
    <row r="54" spans="1:7" ht="16.5" customHeight="1">
      <c r="A54" s="82" t="s">
        <v>8</v>
      </c>
      <c r="B54" s="60" t="s">
        <v>9</v>
      </c>
      <c r="C54" s="59" t="s">
        <v>494</v>
      </c>
      <c r="D54" s="82">
        <v>90</v>
      </c>
      <c r="E54" s="59" t="s">
        <v>474</v>
      </c>
      <c r="F54" s="83" t="s">
        <v>366</v>
      </c>
      <c r="G54" s="30" t="s">
        <v>475</v>
      </c>
    </row>
    <row r="55" spans="1:7" ht="33" customHeight="1">
      <c r="A55" s="82" t="s">
        <v>13</v>
      </c>
      <c r="B55" s="60" t="s">
        <v>14</v>
      </c>
      <c r="C55" s="59" t="s">
        <v>473</v>
      </c>
      <c r="D55" s="82">
        <v>90</v>
      </c>
      <c r="E55" s="59" t="s">
        <v>474</v>
      </c>
      <c r="F55" s="83" t="s">
        <v>366</v>
      </c>
      <c r="G55" s="30" t="s">
        <v>501</v>
      </c>
    </row>
    <row r="56" spans="1:7" ht="33" customHeight="1">
      <c r="A56" s="82" t="s">
        <v>13</v>
      </c>
      <c r="B56" s="60" t="s">
        <v>14</v>
      </c>
      <c r="C56" s="59" t="s">
        <v>476</v>
      </c>
      <c r="D56" s="82">
        <v>90</v>
      </c>
      <c r="E56" s="59" t="s">
        <v>474</v>
      </c>
      <c r="F56" s="83" t="s">
        <v>366</v>
      </c>
      <c r="G56" s="30" t="s">
        <v>501</v>
      </c>
    </row>
    <row r="57" spans="1:7" ht="33" customHeight="1">
      <c r="A57" s="82" t="s">
        <v>13</v>
      </c>
      <c r="B57" s="60" t="s">
        <v>14</v>
      </c>
      <c r="C57" s="59" t="s">
        <v>477</v>
      </c>
      <c r="D57" s="82">
        <v>90</v>
      </c>
      <c r="E57" s="59" t="s">
        <v>474</v>
      </c>
      <c r="F57" s="83" t="s">
        <v>366</v>
      </c>
      <c r="G57" s="30" t="s">
        <v>501</v>
      </c>
    </row>
    <row r="58" spans="1:7" ht="33" customHeight="1">
      <c r="A58" s="82" t="s">
        <v>13</v>
      </c>
      <c r="B58" s="60" t="s">
        <v>14</v>
      </c>
      <c r="C58" s="59" t="s">
        <v>478</v>
      </c>
      <c r="D58" s="82">
        <v>90</v>
      </c>
      <c r="E58" s="59" t="s">
        <v>474</v>
      </c>
      <c r="F58" s="83" t="s">
        <v>366</v>
      </c>
      <c r="G58" s="30" t="s">
        <v>501</v>
      </c>
    </row>
    <row r="59" spans="1:7" ht="33" customHeight="1">
      <c r="A59" s="82" t="s">
        <v>13</v>
      </c>
      <c r="B59" s="60" t="s">
        <v>14</v>
      </c>
      <c r="C59" s="59" t="s">
        <v>479</v>
      </c>
      <c r="D59" s="82">
        <v>90</v>
      </c>
      <c r="E59" s="59" t="s">
        <v>474</v>
      </c>
      <c r="F59" s="83" t="s">
        <v>366</v>
      </c>
      <c r="G59" s="30" t="s">
        <v>501</v>
      </c>
    </row>
    <row r="60" spans="1:7" ht="33" customHeight="1">
      <c r="A60" s="82" t="s">
        <v>13</v>
      </c>
      <c r="B60" s="60" t="s">
        <v>14</v>
      </c>
      <c r="C60" s="59" t="s">
        <v>480</v>
      </c>
      <c r="D60" s="82">
        <v>90</v>
      </c>
      <c r="E60" s="59" t="s">
        <v>474</v>
      </c>
      <c r="F60" s="83" t="s">
        <v>366</v>
      </c>
      <c r="G60" s="30" t="s">
        <v>501</v>
      </c>
    </row>
    <row r="61" spans="1:7" ht="33" customHeight="1">
      <c r="A61" s="82" t="s">
        <v>13</v>
      </c>
      <c r="B61" s="60" t="s">
        <v>14</v>
      </c>
      <c r="C61" s="59" t="s">
        <v>481</v>
      </c>
      <c r="D61" s="82">
        <v>90</v>
      </c>
      <c r="E61" s="59" t="s">
        <v>474</v>
      </c>
      <c r="F61" s="83" t="s">
        <v>366</v>
      </c>
      <c r="G61" s="30" t="s">
        <v>501</v>
      </c>
    </row>
    <row r="62" spans="1:7" ht="33" customHeight="1">
      <c r="A62" s="82" t="s">
        <v>13</v>
      </c>
      <c r="B62" s="60" t="s">
        <v>14</v>
      </c>
      <c r="C62" s="59" t="s">
        <v>482</v>
      </c>
      <c r="D62" s="82">
        <v>90</v>
      </c>
      <c r="E62" s="59" t="s">
        <v>474</v>
      </c>
      <c r="F62" s="83" t="s">
        <v>366</v>
      </c>
      <c r="G62" s="30" t="s">
        <v>501</v>
      </c>
    </row>
    <row r="63" spans="1:7" ht="33" customHeight="1">
      <c r="A63" s="82" t="s">
        <v>13</v>
      </c>
      <c r="B63" s="60" t="s">
        <v>14</v>
      </c>
      <c r="C63" s="59" t="s">
        <v>483</v>
      </c>
      <c r="D63" s="82">
        <v>90</v>
      </c>
      <c r="E63" s="59" t="s">
        <v>474</v>
      </c>
      <c r="F63" s="83" t="s">
        <v>366</v>
      </c>
      <c r="G63" s="30" t="s">
        <v>501</v>
      </c>
    </row>
    <row r="64" spans="1:7" ht="33" customHeight="1">
      <c r="A64" s="82" t="s">
        <v>13</v>
      </c>
      <c r="B64" s="60" t="s">
        <v>14</v>
      </c>
      <c r="C64" s="59" t="s">
        <v>485</v>
      </c>
      <c r="D64" s="82">
        <v>90</v>
      </c>
      <c r="E64" s="59" t="s">
        <v>474</v>
      </c>
      <c r="F64" s="83" t="s">
        <v>366</v>
      </c>
      <c r="G64" s="30" t="s">
        <v>501</v>
      </c>
    </row>
    <row r="65" spans="1:7" ht="33" customHeight="1">
      <c r="A65" s="82" t="s">
        <v>13</v>
      </c>
      <c r="B65" s="60" t="s">
        <v>14</v>
      </c>
      <c r="C65" s="59" t="s">
        <v>486</v>
      </c>
      <c r="D65" s="82">
        <v>90</v>
      </c>
      <c r="E65" s="59" t="s">
        <v>474</v>
      </c>
      <c r="F65" s="83" t="s">
        <v>366</v>
      </c>
      <c r="G65" s="30" t="s">
        <v>501</v>
      </c>
    </row>
    <row r="66" spans="1:7" ht="33" customHeight="1">
      <c r="A66" s="82" t="s">
        <v>13</v>
      </c>
      <c r="B66" s="60" t="s">
        <v>14</v>
      </c>
      <c r="C66" s="59" t="s">
        <v>487</v>
      </c>
      <c r="D66" s="82">
        <v>90</v>
      </c>
      <c r="E66" s="59" t="s">
        <v>474</v>
      </c>
      <c r="F66" s="83" t="s">
        <v>366</v>
      </c>
      <c r="G66" s="30" t="s">
        <v>501</v>
      </c>
    </row>
    <row r="67" spans="1:7" ht="33" customHeight="1">
      <c r="A67" s="82" t="s">
        <v>13</v>
      </c>
      <c r="B67" s="60" t="s">
        <v>14</v>
      </c>
      <c r="C67" s="59" t="s">
        <v>488</v>
      </c>
      <c r="D67" s="82">
        <v>90</v>
      </c>
      <c r="E67" s="59" t="s">
        <v>474</v>
      </c>
      <c r="F67" s="83" t="s">
        <v>366</v>
      </c>
      <c r="G67" s="30" t="s">
        <v>501</v>
      </c>
    </row>
    <row r="68" spans="1:7" ht="33" customHeight="1">
      <c r="A68" s="82" t="s">
        <v>13</v>
      </c>
      <c r="B68" s="60" t="s">
        <v>14</v>
      </c>
      <c r="C68" s="59" t="s">
        <v>489</v>
      </c>
      <c r="D68" s="82">
        <v>90</v>
      </c>
      <c r="E68" s="59" t="s">
        <v>474</v>
      </c>
      <c r="F68" s="83" t="s">
        <v>366</v>
      </c>
      <c r="G68" s="30" t="s">
        <v>501</v>
      </c>
    </row>
    <row r="69" spans="1:7" ht="33" customHeight="1">
      <c r="A69" s="82" t="s">
        <v>13</v>
      </c>
      <c r="B69" s="60" t="s">
        <v>14</v>
      </c>
      <c r="C69" s="59" t="s">
        <v>490</v>
      </c>
      <c r="D69" s="82">
        <v>90</v>
      </c>
      <c r="E69" s="59" t="s">
        <v>474</v>
      </c>
      <c r="F69" s="83" t="s">
        <v>366</v>
      </c>
      <c r="G69" s="30" t="s">
        <v>501</v>
      </c>
    </row>
    <row r="70" spans="1:7" ht="33" customHeight="1">
      <c r="A70" s="82" t="s">
        <v>13</v>
      </c>
      <c r="B70" s="60" t="s">
        <v>14</v>
      </c>
      <c r="C70" s="59" t="s">
        <v>491</v>
      </c>
      <c r="D70" s="82">
        <v>90</v>
      </c>
      <c r="E70" s="59" t="s">
        <v>474</v>
      </c>
      <c r="F70" s="83" t="s">
        <v>366</v>
      </c>
      <c r="G70" s="30" t="s">
        <v>501</v>
      </c>
    </row>
    <row r="71" spans="1:7" ht="33" customHeight="1">
      <c r="A71" s="82" t="s">
        <v>13</v>
      </c>
      <c r="B71" s="60" t="s">
        <v>14</v>
      </c>
      <c r="C71" s="59" t="s">
        <v>492</v>
      </c>
      <c r="D71" s="82">
        <v>90</v>
      </c>
      <c r="E71" s="59" t="s">
        <v>474</v>
      </c>
      <c r="F71" s="83" t="s">
        <v>366</v>
      </c>
      <c r="G71" s="30" t="s">
        <v>501</v>
      </c>
    </row>
    <row r="72" spans="1:7" ht="33" customHeight="1">
      <c r="A72" s="82" t="s">
        <v>13</v>
      </c>
      <c r="B72" s="60" t="s">
        <v>14</v>
      </c>
      <c r="C72" s="59" t="s">
        <v>493</v>
      </c>
      <c r="D72" s="82">
        <v>90</v>
      </c>
      <c r="E72" s="59" t="s">
        <v>474</v>
      </c>
      <c r="F72" s="83" t="s">
        <v>366</v>
      </c>
      <c r="G72" s="30" t="s">
        <v>501</v>
      </c>
    </row>
    <row r="73" spans="1:7" ht="33" customHeight="1">
      <c r="A73" s="82" t="s">
        <v>13</v>
      </c>
      <c r="B73" s="60" t="s">
        <v>14</v>
      </c>
      <c r="C73" s="59" t="s">
        <v>494</v>
      </c>
      <c r="D73" s="82">
        <v>90</v>
      </c>
      <c r="E73" s="59" t="s">
        <v>474</v>
      </c>
      <c r="F73" s="83" t="s">
        <v>366</v>
      </c>
      <c r="G73" s="30" t="s">
        <v>501</v>
      </c>
    </row>
    <row r="74" spans="1:7" ht="33" customHeight="1">
      <c r="A74" s="82" t="s">
        <v>13</v>
      </c>
      <c r="B74" s="60" t="s">
        <v>14</v>
      </c>
      <c r="C74" s="59" t="s">
        <v>495</v>
      </c>
      <c r="D74" s="82">
        <v>90</v>
      </c>
      <c r="E74" s="59" t="s">
        <v>474</v>
      </c>
      <c r="F74" s="83" t="s">
        <v>366</v>
      </c>
      <c r="G74" s="30" t="s">
        <v>501</v>
      </c>
    </row>
    <row r="75" spans="1:7" ht="16.5" customHeight="1">
      <c r="A75" s="82" t="s">
        <v>19</v>
      </c>
      <c r="B75" s="60" t="s">
        <v>20</v>
      </c>
      <c r="C75" s="59" t="s">
        <v>473</v>
      </c>
      <c r="D75" s="82">
        <v>90</v>
      </c>
      <c r="E75" s="59" t="s">
        <v>474</v>
      </c>
      <c r="F75" s="83" t="s">
        <v>366</v>
      </c>
      <c r="G75" s="30" t="s">
        <v>475</v>
      </c>
    </row>
    <row r="76" spans="1:7" ht="16.5" customHeight="1">
      <c r="A76" s="82" t="s">
        <v>19</v>
      </c>
      <c r="B76" s="60" t="s">
        <v>20</v>
      </c>
      <c r="C76" s="59" t="s">
        <v>476</v>
      </c>
      <c r="D76" s="82">
        <v>90</v>
      </c>
      <c r="E76" s="59" t="s">
        <v>474</v>
      </c>
      <c r="F76" s="83" t="s">
        <v>366</v>
      </c>
      <c r="G76" s="30" t="s">
        <v>475</v>
      </c>
    </row>
    <row r="77" spans="1:7" ht="16.5" customHeight="1">
      <c r="A77" s="82" t="s">
        <v>19</v>
      </c>
      <c r="B77" s="60" t="s">
        <v>20</v>
      </c>
      <c r="C77" s="59" t="s">
        <v>477</v>
      </c>
      <c r="D77" s="82">
        <v>90</v>
      </c>
      <c r="E77" s="59" t="s">
        <v>474</v>
      </c>
      <c r="F77" s="83" t="s">
        <v>366</v>
      </c>
      <c r="G77" s="30" t="s">
        <v>475</v>
      </c>
    </row>
    <row r="78" spans="1:7" ht="16.5" customHeight="1">
      <c r="A78" s="82" t="s">
        <v>19</v>
      </c>
      <c r="B78" s="60" t="s">
        <v>20</v>
      </c>
      <c r="C78" s="59" t="s">
        <v>478</v>
      </c>
      <c r="D78" s="82">
        <v>90</v>
      </c>
      <c r="E78" s="59" t="s">
        <v>474</v>
      </c>
      <c r="F78" s="83" t="s">
        <v>366</v>
      </c>
      <c r="G78" s="30" t="s">
        <v>475</v>
      </c>
    </row>
    <row r="79" spans="1:7" ht="33" customHeight="1">
      <c r="A79" s="82" t="s">
        <v>19</v>
      </c>
      <c r="B79" s="60" t="s">
        <v>20</v>
      </c>
      <c r="C79" s="59" t="s">
        <v>479</v>
      </c>
      <c r="D79" s="82">
        <v>90</v>
      </c>
      <c r="E79" s="59" t="s">
        <v>502</v>
      </c>
      <c r="F79" s="83" t="s">
        <v>366</v>
      </c>
      <c r="G79" s="86" t="s">
        <v>503</v>
      </c>
    </row>
    <row r="80" spans="1:7" ht="16.5" customHeight="1">
      <c r="A80" s="82" t="s">
        <v>19</v>
      </c>
      <c r="B80" s="60" t="s">
        <v>20</v>
      </c>
      <c r="C80" s="59" t="s">
        <v>480</v>
      </c>
      <c r="D80" s="82">
        <v>90</v>
      </c>
      <c r="E80" s="59" t="s">
        <v>474</v>
      </c>
      <c r="F80" s="83" t="s">
        <v>366</v>
      </c>
      <c r="G80" s="30" t="s">
        <v>475</v>
      </c>
    </row>
    <row r="81" spans="1:7" ht="16.5" customHeight="1">
      <c r="A81" s="82" t="s">
        <v>19</v>
      </c>
      <c r="B81" s="60" t="s">
        <v>20</v>
      </c>
      <c r="C81" s="59" t="s">
        <v>481</v>
      </c>
      <c r="D81" s="82">
        <v>90</v>
      </c>
      <c r="E81" s="59" t="s">
        <v>474</v>
      </c>
      <c r="F81" s="83" t="s">
        <v>366</v>
      </c>
      <c r="G81" s="30" t="s">
        <v>475</v>
      </c>
    </row>
    <row r="82" spans="1:7" ht="16.5" customHeight="1">
      <c r="A82" s="82" t="s">
        <v>19</v>
      </c>
      <c r="B82" s="60" t="s">
        <v>20</v>
      </c>
      <c r="C82" s="59" t="s">
        <v>482</v>
      </c>
      <c r="D82" s="82">
        <v>90</v>
      </c>
      <c r="E82" s="59" t="s">
        <v>474</v>
      </c>
      <c r="F82" s="83" t="s">
        <v>366</v>
      </c>
      <c r="G82" s="30" t="s">
        <v>475</v>
      </c>
    </row>
    <row r="83" spans="1:7" ht="16.5" customHeight="1">
      <c r="A83" s="82" t="s">
        <v>19</v>
      </c>
      <c r="B83" s="60" t="s">
        <v>20</v>
      </c>
      <c r="C83" s="59" t="s">
        <v>483</v>
      </c>
      <c r="D83" s="82">
        <v>90</v>
      </c>
      <c r="E83" s="59" t="s">
        <v>474</v>
      </c>
      <c r="F83" s="83" t="s">
        <v>366</v>
      </c>
      <c r="G83" s="30" t="s">
        <v>475</v>
      </c>
    </row>
    <row r="84" spans="1:7" ht="16.5" customHeight="1">
      <c r="A84" s="82" t="s">
        <v>19</v>
      </c>
      <c r="B84" s="60" t="s">
        <v>20</v>
      </c>
      <c r="C84" s="59" t="s">
        <v>485</v>
      </c>
      <c r="D84" s="82">
        <v>90</v>
      </c>
      <c r="E84" s="59" t="s">
        <v>474</v>
      </c>
      <c r="F84" s="83" t="s">
        <v>366</v>
      </c>
      <c r="G84" s="30" t="s">
        <v>475</v>
      </c>
    </row>
    <row r="85" spans="1:7" ht="16.5" customHeight="1">
      <c r="A85" s="82" t="s">
        <v>19</v>
      </c>
      <c r="B85" s="60" t="s">
        <v>20</v>
      </c>
      <c r="C85" s="59" t="s">
        <v>486</v>
      </c>
      <c r="D85" s="82">
        <v>90</v>
      </c>
      <c r="E85" s="59" t="s">
        <v>474</v>
      </c>
      <c r="F85" s="83" t="s">
        <v>366</v>
      </c>
      <c r="G85" s="30" t="s">
        <v>475</v>
      </c>
    </row>
    <row r="86" spans="1:7" ht="16.5" customHeight="1">
      <c r="A86" s="82" t="s">
        <v>19</v>
      </c>
      <c r="B86" s="60" t="s">
        <v>20</v>
      </c>
      <c r="C86" s="59" t="s">
        <v>487</v>
      </c>
      <c r="D86" s="82">
        <v>90</v>
      </c>
      <c r="E86" s="59" t="s">
        <v>474</v>
      </c>
      <c r="F86" s="83" t="s">
        <v>366</v>
      </c>
      <c r="G86" s="30" t="s">
        <v>475</v>
      </c>
    </row>
    <row r="87" spans="1:7" ht="16.5" customHeight="1">
      <c r="A87" s="82" t="s">
        <v>19</v>
      </c>
      <c r="B87" s="60" t="s">
        <v>20</v>
      </c>
      <c r="C87" s="59" t="s">
        <v>488</v>
      </c>
      <c r="D87" s="82">
        <v>90</v>
      </c>
      <c r="E87" s="59" t="s">
        <v>474</v>
      </c>
      <c r="F87" s="83" t="s">
        <v>366</v>
      </c>
      <c r="G87" s="30" t="s">
        <v>475</v>
      </c>
    </row>
    <row r="88" spans="1:7" ht="16.5" customHeight="1">
      <c r="A88" s="82" t="s">
        <v>19</v>
      </c>
      <c r="B88" s="60" t="s">
        <v>20</v>
      </c>
      <c r="C88" s="59" t="s">
        <v>489</v>
      </c>
      <c r="D88" s="82">
        <v>90</v>
      </c>
      <c r="E88" s="59" t="s">
        <v>474</v>
      </c>
      <c r="F88" s="83" t="s">
        <v>366</v>
      </c>
      <c r="G88" s="30" t="s">
        <v>475</v>
      </c>
    </row>
    <row r="89" spans="1:7" ht="16.5" customHeight="1">
      <c r="A89" s="82" t="s">
        <v>19</v>
      </c>
      <c r="B89" s="60" t="s">
        <v>20</v>
      </c>
      <c r="C89" s="59" t="s">
        <v>490</v>
      </c>
      <c r="D89" s="82">
        <v>90</v>
      </c>
      <c r="E89" s="59" t="s">
        <v>474</v>
      </c>
      <c r="F89" s="83" t="s">
        <v>366</v>
      </c>
      <c r="G89" s="30" t="s">
        <v>475</v>
      </c>
    </row>
    <row r="90" spans="1:7" ht="16.5" customHeight="1">
      <c r="A90" s="82" t="s">
        <v>19</v>
      </c>
      <c r="B90" s="60" t="s">
        <v>20</v>
      </c>
      <c r="C90" s="59" t="s">
        <v>491</v>
      </c>
      <c r="D90" s="82">
        <v>90</v>
      </c>
      <c r="E90" s="59" t="s">
        <v>474</v>
      </c>
      <c r="F90" s="83" t="s">
        <v>366</v>
      </c>
      <c r="G90" s="30" t="s">
        <v>475</v>
      </c>
    </row>
    <row r="91" spans="1:7" ht="16.5" customHeight="1">
      <c r="A91" s="82" t="s">
        <v>19</v>
      </c>
      <c r="B91" s="60" t="s">
        <v>20</v>
      </c>
      <c r="C91" s="59" t="s">
        <v>492</v>
      </c>
      <c r="D91" s="82">
        <v>90</v>
      </c>
      <c r="E91" s="59" t="s">
        <v>474</v>
      </c>
      <c r="F91" s="83" t="s">
        <v>366</v>
      </c>
      <c r="G91" s="30" t="s">
        <v>475</v>
      </c>
    </row>
    <row r="92" spans="1:7" ht="16.5" customHeight="1">
      <c r="A92" s="82" t="s">
        <v>19</v>
      </c>
      <c r="B92" s="60" t="s">
        <v>20</v>
      </c>
      <c r="C92" s="59" t="s">
        <v>493</v>
      </c>
      <c r="D92" s="82">
        <v>90</v>
      </c>
      <c r="E92" s="59" t="s">
        <v>474</v>
      </c>
      <c r="F92" s="83" t="s">
        <v>366</v>
      </c>
      <c r="G92" s="30" t="s">
        <v>475</v>
      </c>
    </row>
    <row r="93" spans="1:7" ht="16.5" customHeight="1">
      <c r="A93" s="82" t="s">
        <v>19</v>
      </c>
      <c r="B93" s="60" t="s">
        <v>20</v>
      </c>
      <c r="C93" s="59" t="s">
        <v>494</v>
      </c>
      <c r="D93" s="82">
        <v>90</v>
      </c>
      <c r="E93" s="59" t="s">
        <v>474</v>
      </c>
      <c r="F93" s="83" t="s">
        <v>366</v>
      </c>
      <c r="G93" s="30" t="s">
        <v>475</v>
      </c>
    </row>
    <row r="94" spans="1:7" ht="16.5" customHeight="1">
      <c r="A94" s="82" t="s">
        <v>19</v>
      </c>
      <c r="B94" s="60" t="s">
        <v>20</v>
      </c>
      <c r="C94" s="59" t="s">
        <v>495</v>
      </c>
      <c r="D94" s="82">
        <v>90</v>
      </c>
      <c r="E94" s="59" t="s">
        <v>474</v>
      </c>
      <c r="F94" s="83" t="s">
        <v>366</v>
      </c>
      <c r="G94" s="30" t="s">
        <v>475</v>
      </c>
    </row>
    <row r="95" spans="1:7" ht="16.5" customHeight="1">
      <c r="A95" s="82" t="s">
        <v>19</v>
      </c>
      <c r="B95" s="60" t="s">
        <v>20</v>
      </c>
      <c r="C95" s="59" t="s">
        <v>496</v>
      </c>
      <c r="D95" s="82">
        <v>90</v>
      </c>
      <c r="E95" s="59" t="s">
        <v>474</v>
      </c>
      <c r="F95" s="83" t="s">
        <v>366</v>
      </c>
      <c r="G95" s="30" t="s">
        <v>475</v>
      </c>
    </row>
    <row r="96" spans="1:7" ht="16.5" customHeight="1">
      <c r="A96" s="82" t="s">
        <v>19</v>
      </c>
      <c r="B96" s="60" t="s">
        <v>20</v>
      </c>
      <c r="C96" s="59" t="s">
        <v>497</v>
      </c>
      <c r="D96" s="82">
        <v>90</v>
      </c>
      <c r="E96" s="59" t="s">
        <v>474</v>
      </c>
      <c r="F96" s="83" t="s">
        <v>366</v>
      </c>
      <c r="G96" s="30" t="s">
        <v>475</v>
      </c>
    </row>
    <row r="97" spans="1:7" ht="16.5" customHeight="1">
      <c r="A97" s="82" t="s">
        <v>19</v>
      </c>
      <c r="B97" s="60" t="s">
        <v>20</v>
      </c>
      <c r="C97" s="59" t="s">
        <v>498</v>
      </c>
      <c r="D97" s="82">
        <v>90</v>
      </c>
      <c r="E97" s="59" t="s">
        <v>474</v>
      </c>
      <c r="F97" s="83" t="s">
        <v>366</v>
      </c>
      <c r="G97" s="30" t="s">
        <v>475</v>
      </c>
    </row>
    <row r="98" spans="1:7" ht="16.5" customHeight="1">
      <c r="A98" s="82" t="s">
        <v>19</v>
      </c>
      <c r="B98" s="60" t="s">
        <v>20</v>
      </c>
      <c r="C98" s="59" t="s">
        <v>499</v>
      </c>
      <c r="D98" s="82">
        <v>90</v>
      </c>
      <c r="E98" s="59" t="s">
        <v>474</v>
      </c>
      <c r="F98" s="83" t="s">
        <v>366</v>
      </c>
      <c r="G98" s="30" t="s">
        <v>475</v>
      </c>
    </row>
    <row r="99" spans="1:7" ht="16.5" customHeight="1">
      <c r="A99" s="82" t="s">
        <v>19</v>
      </c>
      <c r="B99" s="60" t="s">
        <v>20</v>
      </c>
      <c r="C99" s="59" t="s">
        <v>500</v>
      </c>
      <c r="D99" s="82">
        <v>90</v>
      </c>
      <c r="E99" s="59" t="s">
        <v>474</v>
      </c>
      <c r="F99" s="83" t="s">
        <v>366</v>
      </c>
      <c r="G99" s="30" t="s">
        <v>475</v>
      </c>
    </row>
    <row r="100" spans="1:7" ht="16.5" customHeight="1">
      <c r="A100" s="82" t="s">
        <v>19</v>
      </c>
      <c r="B100" s="60" t="s">
        <v>20</v>
      </c>
      <c r="C100" s="59" t="s">
        <v>504</v>
      </c>
      <c r="D100" s="82">
        <v>90</v>
      </c>
      <c r="E100" s="59" t="s">
        <v>474</v>
      </c>
      <c r="F100" s="83" t="s">
        <v>366</v>
      </c>
      <c r="G100" s="30" t="s">
        <v>475</v>
      </c>
    </row>
    <row r="101" spans="1:7" ht="16.5" customHeight="1">
      <c r="A101" s="82" t="s">
        <v>19</v>
      </c>
      <c r="B101" s="60" t="s">
        <v>20</v>
      </c>
      <c r="C101" s="59" t="s">
        <v>505</v>
      </c>
      <c r="D101" s="82">
        <v>90</v>
      </c>
      <c r="E101" s="59" t="s">
        <v>474</v>
      </c>
      <c r="F101" s="83" t="s">
        <v>366</v>
      </c>
      <c r="G101" s="30" t="s">
        <v>475</v>
      </c>
    </row>
    <row r="102" spans="1:7" ht="49.5" customHeight="1">
      <c r="A102" s="82" t="s">
        <v>25</v>
      </c>
      <c r="B102" s="60" t="s">
        <v>26</v>
      </c>
      <c r="C102" s="59" t="s">
        <v>473</v>
      </c>
      <c r="D102" s="82">
        <v>90</v>
      </c>
      <c r="E102" s="59" t="s">
        <v>474</v>
      </c>
      <c r="F102" s="83" t="s">
        <v>366</v>
      </c>
      <c r="G102" s="30" t="s">
        <v>506</v>
      </c>
    </row>
    <row r="103" spans="1:7" ht="49.5" customHeight="1">
      <c r="A103" s="82" t="s">
        <v>25</v>
      </c>
      <c r="B103" s="60" t="s">
        <v>26</v>
      </c>
      <c r="C103" s="59" t="s">
        <v>476</v>
      </c>
      <c r="D103" s="82">
        <v>90</v>
      </c>
      <c r="E103" s="59" t="s">
        <v>474</v>
      </c>
      <c r="F103" s="83" t="s">
        <v>366</v>
      </c>
      <c r="G103" s="30" t="s">
        <v>506</v>
      </c>
    </row>
    <row r="104" spans="1:7" ht="49.5" customHeight="1">
      <c r="A104" s="82" t="s">
        <v>25</v>
      </c>
      <c r="B104" s="60" t="s">
        <v>26</v>
      </c>
      <c r="C104" s="59" t="s">
        <v>477</v>
      </c>
      <c r="D104" s="82">
        <v>90</v>
      </c>
      <c r="E104" s="59" t="s">
        <v>474</v>
      </c>
      <c r="F104" s="83" t="s">
        <v>366</v>
      </c>
      <c r="G104" s="30" t="s">
        <v>506</v>
      </c>
    </row>
    <row r="105" spans="1:7" ht="49.5" customHeight="1">
      <c r="A105" s="82" t="s">
        <v>25</v>
      </c>
      <c r="B105" s="60" t="s">
        <v>26</v>
      </c>
      <c r="C105" s="59" t="s">
        <v>478</v>
      </c>
      <c r="D105" s="82">
        <v>90</v>
      </c>
      <c r="E105" s="59" t="s">
        <v>474</v>
      </c>
      <c r="F105" s="83" t="s">
        <v>366</v>
      </c>
      <c r="G105" s="30" t="s">
        <v>506</v>
      </c>
    </row>
    <row r="106" spans="1:7" ht="49.5" customHeight="1">
      <c r="A106" s="82" t="s">
        <v>25</v>
      </c>
      <c r="B106" s="60" t="s">
        <v>26</v>
      </c>
      <c r="C106" s="59" t="s">
        <v>479</v>
      </c>
      <c r="D106" s="82">
        <v>90</v>
      </c>
      <c r="E106" s="59" t="s">
        <v>474</v>
      </c>
      <c r="F106" s="83" t="s">
        <v>366</v>
      </c>
      <c r="G106" s="30" t="s">
        <v>506</v>
      </c>
    </row>
    <row r="107" spans="1:7" ht="49.5" customHeight="1">
      <c r="A107" s="82" t="s">
        <v>25</v>
      </c>
      <c r="B107" s="60" t="s">
        <v>26</v>
      </c>
      <c r="C107" s="59" t="s">
        <v>480</v>
      </c>
      <c r="D107" s="82">
        <v>90</v>
      </c>
      <c r="E107" s="59" t="s">
        <v>474</v>
      </c>
      <c r="F107" s="83" t="s">
        <v>366</v>
      </c>
      <c r="G107" s="30" t="s">
        <v>506</v>
      </c>
    </row>
    <row r="108" spans="1:7" ht="49.5" customHeight="1">
      <c r="A108" s="82" t="s">
        <v>25</v>
      </c>
      <c r="B108" s="60" t="s">
        <v>26</v>
      </c>
      <c r="C108" s="59" t="s">
        <v>481</v>
      </c>
      <c r="D108" s="82">
        <v>90</v>
      </c>
      <c r="E108" s="59" t="s">
        <v>474</v>
      </c>
      <c r="F108" s="83" t="s">
        <v>366</v>
      </c>
      <c r="G108" s="30" t="s">
        <v>506</v>
      </c>
    </row>
    <row r="109" spans="1:7" ht="49.5" customHeight="1">
      <c r="A109" s="82" t="s">
        <v>25</v>
      </c>
      <c r="B109" s="60" t="s">
        <v>26</v>
      </c>
      <c r="C109" s="59" t="s">
        <v>482</v>
      </c>
      <c r="D109" s="82">
        <v>90</v>
      </c>
      <c r="E109" s="59" t="s">
        <v>474</v>
      </c>
      <c r="F109" s="83" t="s">
        <v>366</v>
      </c>
      <c r="G109" s="30" t="s">
        <v>506</v>
      </c>
    </row>
    <row r="110" spans="1:7" ht="49.5" customHeight="1">
      <c r="A110" s="82" t="s">
        <v>25</v>
      </c>
      <c r="B110" s="60" t="s">
        <v>26</v>
      </c>
      <c r="C110" s="59" t="s">
        <v>483</v>
      </c>
      <c r="D110" s="82">
        <v>90</v>
      </c>
      <c r="E110" s="59" t="s">
        <v>474</v>
      </c>
      <c r="F110" s="83" t="s">
        <v>366</v>
      </c>
      <c r="G110" s="30" t="s">
        <v>506</v>
      </c>
    </row>
    <row r="111" spans="1:7" ht="49.5" customHeight="1">
      <c r="A111" s="82" t="s">
        <v>25</v>
      </c>
      <c r="B111" s="60" t="s">
        <v>26</v>
      </c>
      <c r="C111" s="59" t="s">
        <v>485</v>
      </c>
      <c r="D111" s="82">
        <v>90</v>
      </c>
      <c r="E111" s="59" t="s">
        <v>474</v>
      </c>
      <c r="F111" s="83" t="s">
        <v>366</v>
      </c>
      <c r="G111" s="30" t="s">
        <v>506</v>
      </c>
    </row>
    <row r="112" spans="1:7" ht="49.5" customHeight="1">
      <c r="A112" s="82" t="s">
        <v>25</v>
      </c>
      <c r="B112" s="60" t="s">
        <v>26</v>
      </c>
      <c r="C112" s="59" t="s">
        <v>486</v>
      </c>
      <c r="D112" s="82">
        <v>90</v>
      </c>
      <c r="E112" s="59" t="s">
        <v>474</v>
      </c>
      <c r="F112" s="83" t="s">
        <v>366</v>
      </c>
      <c r="G112" s="30" t="s">
        <v>506</v>
      </c>
    </row>
    <row r="113" spans="1:7" ht="49.5" customHeight="1">
      <c r="A113" s="82" t="s">
        <v>25</v>
      </c>
      <c r="B113" s="60" t="s">
        <v>26</v>
      </c>
      <c r="C113" s="59" t="s">
        <v>487</v>
      </c>
      <c r="D113" s="82">
        <v>90</v>
      </c>
      <c r="E113" s="59" t="s">
        <v>474</v>
      </c>
      <c r="F113" s="83" t="s">
        <v>366</v>
      </c>
      <c r="G113" s="30" t="s">
        <v>506</v>
      </c>
    </row>
    <row r="114" spans="1:7" ht="49.5" customHeight="1">
      <c r="A114" s="82" t="s">
        <v>25</v>
      </c>
      <c r="B114" s="60" t="s">
        <v>26</v>
      </c>
      <c r="C114" s="59" t="s">
        <v>488</v>
      </c>
      <c r="D114" s="82">
        <v>90</v>
      </c>
      <c r="E114" s="59" t="s">
        <v>474</v>
      </c>
      <c r="F114" s="83" t="s">
        <v>366</v>
      </c>
      <c r="G114" s="30" t="s">
        <v>506</v>
      </c>
    </row>
    <row r="115" spans="1:7" ht="49.5" customHeight="1">
      <c r="A115" s="82" t="s">
        <v>25</v>
      </c>
      <c r="B115" s="60" t="s">
        <v>26</v>
      </c>
      <c r="C115" s="59" t="s">
        <v>489</v>
      </c>
      <c r="D115" s="82">
        <v>90</v>
      </c>
      <c r="E115" s="59" t="s">
        <v>474</v>
      </c>
      <c r="F115" s="83" t="s">
        <v>366</v>
      </c>
      <c r="G115" s="30" t="s">
        <v>506</v>
      </c>
    </row>
    <row r="116" spans="1:7" ht="49.5" customHeight="1">
      <c r="A116" s="82" t="s">
        <v>25</v>
      </c>
      <c r="B116" s="60" t="s">
        <v>26</v>
      </c>
      <c r="C116" s="59" t="s">
        <v>490</v>
      </c>
      <c r="D116" s="82">
        <v>90</v>
      </c>
      <c r="E116" s="59" t="s">
        <v>474</v>
      </c>
      <c r="F116" s="83" t="s">
        <v>366</v>
      </c>
      <c r="G116" s="30" t="s">
        <v>506</v>
      </c>
    </row>
    <row r="117" spans="1:7" ht="49.5" customHeight="1">
      <c r="A117" s="82" t="s">
        <v>25</v>
      </c>
      <c r="B117" s="60" t="s">
        <v>26</v>
      </c>
      <c r="C117" s="59" t="s">
        <v>491</v>
      </c>
      <c r="D117" s="82">
        <v>90</v>
      </c>
      <c r="E117" s="59" t="s">
        <v>474</v>
      </c>
      <c r="F117" s="83" t="s">
        <v>366</v>
      </c>
      <c r="G117" s="30" t="s">
        <v>506</v>
      </c>
    </row>
    <row r="118" spans="1:7" ht="49.5" customHeight="1">
      <c r="A118" s="82" t="s">
        <v>25</v>
      </c>
      <c r="B118" s="60" t="s">
        <v>26</v>
      </c>
      <c r="C118" s="59" t="s">
        <v>492</v>
      </c>
      <c r="D118" s="82">
        <v>90</v>
      </c>
      <c r="E118" s="59" t="s">
        <v>474</v>
      </c>
      <c r="F118" s="83" t="s">
        <v>366</v>
      </c>
      <c r="G118" s="30" t="s">
        <v>506</v>
      </c>
    </row>
    <row r="119" spans="1:7" ht="49.5" customHeight="1">
      <c r="A119" s="82" t="s">
        <v>25</v>
      </c>
      <c r="B119" s="60" t="s">
        <v>26</v>
      </c>
      <c r="C119" s="59" t="s">
        <v>493</v>
      </c>
      <c r="D119" s="82">
        <v>90</v>
      </c>
      <c r="E119" s="59" t="s">
        <v>474</v>
      </c>
      <c r="F119" s="83" t="s">
        <v>366</v>
      </c>
      <c r="G119" s="30" t="s">
        <v>506</v>
      </c>
    </row>
    <row r="120" spans="1:7" ht="82.5" customHeight="1">
      <c r="A120" s="82" t="s">
        <v>25</v>
      </c>
      <c r="B120" s="60" t="s">
        <v>26</v>
      </c>
      <c r="C120" s="59" t="s">
        <v>494</v>
      </c>
      <c r="D120" s="82">
        <v>90</v>
      </c>
      <c r="E120" s="59" t="s">
        <v>474</v>
      </c>
      <c r="F120" s="83" t="s">
        <v>507</v>
      </c>
      <c r="G120" s="30" t="s">
        <v>508</v>
      </c>
    </row>
    <row r="121" spans="1:7" ht="16.5" customHeight="1">
      <c r="A121" s="82" t="s">
        <v>31</v>
      </c>
      <c r="B121" s="60" t="s">
        <v>32</v>
      </c>
      <c r="C121" s="59" t="s">
        <v>473</v>
      </c>
      <c r="D121" s="82">
        <v>90</v>
      </c>
      <c r="E121" s="59" t="s">
        <v>474</v>
      </c>
      <c r="F121" s="83" t="s">
        <v>366</v>
      </c>
      <c r="G121" s="30" t="s">
        <v>509</v>
      </c>
    </row>
    <row r="122" spans="1:7" ht="16.5" customHeight="1">
      <c r="A122" s="82" t="s">
        <v>31</v>
      </c>
      <c r="B122" s="60" t="s">
        <v>32</v>
      </c>
      <c r="C122" s="59" t="s">
        <v>476</v>
      </c>
      <c r="D122" s="82">
        <v>90</v>
      </c>
      <c r="E122" s="59" t="s">
        <v>474</v>
      </c>
      <c r="F122" s="83" t="s">
        <v>366</v>
      </c>
      <c r="G122" s="30" t="s">
        <v>509</v>
      </c>
    </row>
    <row r="123" spans="1:7" ht="16.5" customHeight="1">
      <c r="A123" s="82" t="s">
        <v>31</v>
      </c>
      <c r="B123" s="60" t="s">
        <v>32</v>
      </c>
      <c r="C123" s="59" t="s">
        <v>477</v>
      </c>
      <c r="D123" s="82">
        <v>90</v>
      </c>
      <c r="E123" s="59" t="s">
        <v>474</v>
      </c>
      <c r="F123" s="83" t="s">
        <v>366</v>
      </c>
      <c r="G123" s="30" t="s">
        <v>509</v>
      </c>
    </row>
    <row r="124" spans="1:7" ht="16.5" customHeight="1">
      <c r="A124" s="82" t="s">
        <v>31</v>
      </c>
      <c r="B124" s="60" t="s">
        <v>32</v>
      </c>
      <c r="C124" s="59" t="s">
        <v>478</v>
      </c>
      <c r="D124" s="82">
        <v>90</v>
      </c>
      <c r="E124" s="59" t="s">
        <v>474</v>
      </c>
      <c r="F124" s="83" t="s">
        <v>366</v>
      </c>
      <c r="G124" s="30" t="s">
        <v>509</v>
      </c>
    </row>
    <row r="125" spans="1:7" ht="16.5" customHeight="1">
      <c r="A125" s="82" t="s">
        <v>31</v>
      </c>
      <c r="B125" s="60" t="s">
        <v>32</v>
      </c>
      <c r="C125" s="59" t="s">
        <v>479</v>
      </c>
      <c r="D125" s="82">
        <v>90</v>
      </c>
      <c r="E125" s="59" t="s">
        <v>474</v>
      </c>
      <c r="F125" s="83" t="s">
        <v>366</v>
      </c>
      <c r="G125" s="30" t="s">
        <v>509</v>
      </c>
    </row>
    <row r="126" spans="1:7" ht="16.5" customHeight="1">
      <c r="A126" s="82" t="s">
        <v>31</v>
      </c>
      <c r="B126" s="60" t="s">
        <v>32</v>
      </c>
      <c r="C126" s="59" t="s">
        <v>480</v>
      </c>
      <c r="D126" s="82">
        <v>90</v>
      </c>
      <c r="E126" s="59" t="s">
        <v>474</v>
      </c>
      <c r="F126" s="83" t="s">
        <v>366</v>
      </c>
      <c r="G126" s="30" t="s">
        <v>509</v>
      </c>
    </row>
    <row r="127" spans="1:7" ht="16.5" customHeight="1">
      <c r="A127" s="82" t="s">
        <v>31</v>
      </c>
      <c r="B127" s="60" t="s">
        <v>32</v>
      </c>
      <c r="C127" s="59" t="s">
        <v>481</v>
      </c>
      <c r="D127" s="82">
        <v>90</v>
      </c>
      <c r="E127" s="59" t="s">
        <v>474</v>
      </c>
      <c r="F127" s="83" t="s">
        <v>366</v>
      </c>
      <c r="G127" s="30" t="s">
        <v>509</v>
      </c>
    </row>
    <row r="128" spans="1:7" ht="16.5" customHeight="1">
      <c r="A128" s="82" t="s">
        <v>31</v>
      </c>
      <c r="B128" s="60" t="s">
        <v>32</v>
      </c>
      <c r="C128" s="59" t="s">
        <v>482</v>
      </c>
      <c r="D128" s="82">
        <v>90</v>
      </c>
      <c r="E128" s="59" t="s">
        <v>474</v>
      </c>
      <c r="F128" s="83" t="s">
        <v>366</v>
      </c>
      <c r="G128" s="30" t="s">
        <v>509</v>
      </c>
    </row>
    <row r="129" spans="1:7" ht="16.5" customHeight="1">
      <c r="A129" s="82" t="s">
        <v>31</v>
      </c>
      <c r="B129" s="60" t="s">
        <v>32</v>
      </c>
      <c r="C129" s="59" t="s">
        <v>483</v>
      </c>
      <c r="D129" s="82">
        <v>90</v>
      </c>
      <c r="E129" s="59" t="s">
        <v>474</v>
      </c>
      <c r="F129" s="83" t="s">
        <v>366</v>
      </c>
      <c r="G129" s="30" t="s">
        <v>509</v>
      </c>
    </row>
    <row r="130" spans="1:7" ht="16.5" customHeight="1">
      <c r="A130" s="82" t="s">
        <v>31</v>
      </c>
      <c r="B130" s="60" t="s">
        <v>32</v>
      </c>
      <c r="C130" s="59" t="s">
        <v>485</v>
      </c>
      <c r="D130" s="82">
        <v>90</v>
      </c>
      <c r="E130" s="59" t="s">
        <v>474</v>
      </c>
      <c r="F130" s="83" t="s">
        <v>366</v>
      </c>
      <c r="G130" s="30" t="s">
        <v>509</v>
      </c>
    </row>
    <row r="131" spans="1:7" ht="16.5" customHeight="1">
      <c r="A131" s="82" t="s">
        <v>31</v>
      </c>
      <c r="B131" s="60" t="s">
        <v>32</v>
      </c>
      <c r="C131" s="59" t="s">
        <v>486</v>
      </c>
      <c r="D131" s="82">
        <v>90</v>
      </c>
      <c r="E131" s="59" t="s">
        <v>474</v>
      </c>
      <c r="F131" s="83" t="s">
        <v>366</v>
      </c>
      <c r="G131" s="30" t="s">
        <v>509</v>
      </c>
    </row>
    <row r="132" spans="1:7" ht="16.5" customHeight="1">
      <c r="A132" s="82" t="s">
        <v>31</v>
      </c>
      <c r="B132" s="60" t="s">
        <v>32</v>
      </c>
      <c r="C132" s="59" t="s">
        <v>487</v>
      </c>
      <c r="D132" s="82">
        <v>90</v>
      </c>
      <c r="E132" s="59" t="s">
        <v>474</v>
      </c>
      <c r="F132" s="83" t="s">
        <v>366</v>
      </c>
      <c r="G132" s="30" t="s">
        <v>509</v>
      </c>
    </row>
    <row r="133" spans="1:7" ht="16.5" customHeight="1">
      <c r="A133" s="82" t="s">
        <v>31</v>
      </c>
      <c r="B133" s="60" t="s">
        <v>32</v>
      </c>
      <c r="C133" s="59" t="s">
        <v>488</v>
      </c>
      <c r="D133" s="82">
        <v>90</v>
      </c>
      <c r="E133" s="59" t="s">
        <v>474</v>
      </c>
      <c r="F133" s="83" t="s">
        <v>366</v>
      </c>
      <c r="G133" s="30" t="s">
        <v>509</v>
      </c>
    </row>
    <row r="134" spans="1:7" ht="16.5" customHeight="1">
      <c r="A134" s="82" t="s">
        <v>31</v>
      </c>
      <c r="B134" s="60" t="s">
        <v>32</v>
      </c>
      <c r="C134" s="59" t="s">
        <v>489</v>
      </c>
      <c r="D134" s="82">
        <v>90</v>
      </c>
      <c r="E134" s="59" t="s">
        <v>474</v>
      </c>
      <c r="F134" s="83" t="s">
        <v>366</v>
      </c>
      <c r="G134" s="30" t="s">
        <v>509</v>
      </c>
    </row>
    <row r="135" spans="1:7" ht="16.5" customHeight="1">
      <c r="A135" s="82" t="s">
        <v>31</v>
      </c>
      <c r="B135" s="60" t="s">
        <v>32</v>
      </c>
      <c r="C135" s="59" t="s">
        <v>490</v>
      </c>
      <c r="D135" s="82">
        <v>90</v>
      </c>
      <c r="E135" s="59" t="s">
        <v>474</v>
      </c>
      <c r="F135" s="83" t="s">
        <v>366</v>
      </c>
      <c r="G135" s="30" t="s">
        <v>509</v>
      </c>
    </row>
    <row r="136" spans="1:7" ht="16.5" customHeight="1">
      <c r="A136" s="82" t="s">
        <v>31</v>
      </c>
      <c r="B136" s="60" t="s">
        <v>32</v>
      </c>
      <c r="C136" s="59" t="s">
        <v>491</v>
      </c>
      <c r="D136" s="82">
        <v>90</v>
      </c>
      <c r="E136" s="59" t="s">
        <v>474</v>
      </c>
      <c r="F136" s="83" t="s">
        <v>366</v>
      </c>
      <c r="G136" s="30" t="s">
        <v>509</v>
      </c>
    </row>
    <row r="137" spans="1:7" ht="66" customHeight="1">
      <c r="A137" s="82" t="s">
        <v>31</v>
      </c>
      <c r="B137" s="60" t="s">
        <v>32</v>
      </c>
      <c r="C137" s="59" t="s">
        <v>492</v>
      </c>
      <c r="D137" s="82">
        <v>90</v>
      </c>
      <c r="E137" s="59" t="s">
        <v>474</v>
      </c>
      <c r="F137" s="83" t="s">
        <v>507</v>
      </c>
      <c r="G137" s="30" t="s">
        <v>510</v>
      </c>
    </row>
    <row r="138" spans="1:7" ht="66" customHeight="1">
      <c r="A138" s="82" t="s">
        <v>31</v>
      </c>
      <c r="B138" s="60" t="s">
        <v>32</v>
      </c>
      <c r="C138" s="59" t="s">
        <v>493</v>
      </c>
      <c r="D138" s="82">
        <v>90</v>
      </c>
      <c r="E138" s="59" t="s">
        <v>474</v>
      </c>
      <c r="F138" s="83" t="s">
        <v>507</v>
      </c>
      <c r="G138" s="30" t="s">
        <v>510</v>
      </c>
    </row>
    <row r="139" spans="1:7" ht="66" customHeight="1">
      <c r="A139" s="82" t="s">
        <v>31</v>
      </c>
      <c r="B139" s="60" t="s">
        <v>32</v>
      </c>
      <c r="C139" s="59" t="s">
        <v>494</v>
      </c>
      <c r="D139" s="82">
        <v>90</v>
      </c>
      <c r="E139" s="59" t="s">
        <v>474</v>
      </c>
      <c r="F139" s="83" t="s">
        <v>507</v>
      </c>
      <c r="G139" s="30" t="s">
        <v>510</v>
      </c>
    </row>
    <row r="140" spans="1:7" ht="16.5" customHeight="1">
      <c r="A140" s="82" t="s">
        <v>28</v>
      </c>
      <c r="B140" s="60" t="s">
        <v>29</v>
      </c>
      <c r="C140" s="59" t="s">
        <v>473</v>
      </c>
      <c r="D140" s="82">
        <v>90</v>
      </c>
      <c r="E140" s="59" t="s">
        <v>474</v>
      </c>
    </row>
    <row r="141" spans="1:7" ht="16.5" customHeight="1">
      <c r="A141" s="82" t="s">
        <v>28</v>
      </c>
      <c r="B141" s="60" t="s">
        <v>29</v>
      </c>
      <c r="C141" s="59" t="s">
        <v>476</v>
      </c>
      <c r="D141" s="82">
        <v>90</v>
      </c>
      <c r="E141" s="59" t="s">
        <v>474</v>
      </c>
    </row>
    <row r="142" spans="1:7" ht="16.5" customHeight="1">
      <c r="A142" s="82" t="s">
        <v>28</v>
      </c>
      <c r="B142" s="60" t="s">
        <v>29</v>
      </c>
      <c r="C142" s="59" t="s">
        <v>477</v>
      </c>
      <c r="D142" s="82">
        <v>90</v>
      </c>
      <c r="E142" s="59" t="s">
        <v>474</v>
      </c>
    </row>
    <row r="143" spans="1:7" ht="16.5" customHeight="1">
      <c r="A143" s="82" t="s">
        <v>28</v>
      </c>
      <c r="B143" s="60" t="s">
        <v>29</v>
      </c>
      <c r="C143" s="59" t="s">
        <v>478</v>
      </c>
      <c r="D143" s="82">
        <v>90</v>
      </c>
      <c r="E143" s="59" t="s">
        <v>474</v>
      </c>
    </row>
    <row r="144" spans="1:7" ht="16.5" customHeight="1">
      <c r="A144" s="82" t="s">
        <v>28</v>
      </c>
      <c r="B144" s="60" t="s">
        <v>29</v>
      </c>
      <c r="C144" s="59" t="s">
        <v>479</v>
      </c>
      <c r="D144" s="82">
        <v>90</v>
      </c>
      <c r="E144" s="59" t="s">
        <v>474</v>
      </c>
    </row>
    <row r="145" spans="1:5" ht="16.5" customHeight="1">
      <c r="A145" s="82" t="s">
        <v>28</v>
      </c>
      <c r="B145" s="60" t="s">
        <v>29</v>
      </c>
      <c r="C145" s="59" t="s">
        <v>480</v>
      </c>
      <c r="D145" s="82">
        <v>90</v>
      </c>
      <c r="E145" s="59" t="s">
        <v>474</v>
      </c>
    </row>
    <row r="146" spans="1:5" ht="16.5" customHeight="1">
      <c r="A146" s="82" t="s">
        <v>28</v>
      </c>
      <c r="B146" s="60" t="s">
        <v>29</v>
      </c>
      <c r="C146" s="59" t="s">
        <v>481</v>
      </c>
      <c r="D146" s="82">
        <v>90</v>
      </c>
      <c r="E146" s="59" t="s">
        <v>474</v>
      </c>
    </row>
    <row r="147" spans="1:5" ht="16.5" customHeight="1">
      <c r="A147" s="82" t="s">
        <v>28</v>
      </c>
      <c r="B147" s="60" t="s">
        <v>29</v>
      </c>
      <c r="C147" s="59" t="s">
        <v>482</v>
      </c>
      <c r="D147" s="82">
        <v>90</v>
      </c>
      <c r="E147" s="59" t="s">
        <v>474</v>
      </c>
    </row>
    <row r="148" spans="1:5" ht="16.5" customHeight="1">
      <c r="A148" s="82" t="s">
        <v>28</v>
      </c>
      <c r="B148" s="60" t="s">
        <v>29</v>
      </c>
      <c r="C148" s="59" t="s">
        <v>483</v>
      </c>
      <c r="D148" s="82">
        <v>90</v>
      </c>
      <c r="E148" s="59" t="s">
        <v>474</v>
      </c>
    </row>
    <row r="149" spans="1:5" ht="16.5" customHeight="1">
      <c r="A149" s="82" t="s">
        <v>28</v>
      </c>
      <c r="B149" s="60" t="s">
        <v>29</v>
      </c>
      <c r="C149" s="59" t="s">
        <v>485</v>
      </c>
      <c r="D149" s="82">
        <v>90</v>
      </c>
      <c r="E149" s="59" t="s">
        <v>474</v>
      </c>
    </row>
    <row r="150" spans="1:5" ht="16.5" customHeight="1">
      <c r="A150" s="82" t="s">
        <v>28</v>
      </c>
      <c r="B150" s="60" t="s">
        <v>29</v>
      </c>
      <c r="C150" s="59" t="s">
        <v>486</v>
      </c>
      <c r="D150" s="82">
        <v>90</v>
      </c>
      <c r="E150" s="59" t="s">
        <v>474</v>
      </c>
    </row>
    <row r="151" spans="1:5" ht="16.5" customHeight="1">
      <c r="A151" s="82" t="s">
        <v>28</v>
      </c>
      <c r="B151" s="60" t="s">
        <v>29</v>
      </c>
      <c r="C151" s="59" t="s">
        <v>487</v>
      </c>
      <c r="D151" s="82">
        <v>90</v>
      </c>
      <c r="E151" s="59" t="s">
        <v>474</v>
      </c>
    </row>
    <row r="152" spans="1:5" ht="16.5" customHeight="1">
      <c r="A152" s="82" t="s">
        <v>28</v>
      </c>
      <c r="B152" s="60" t="s">
        <v>29</v>
      </c>
      <c r="C152" s="59" t="s">
        <v>488</v>
      </c>
      <c r="D152" s="82">
        <v>90</v>
      </c>
      <c r="E152" s="59" t="s">
        <v>474</v>
      </c>
    </row>
    <row r="153" spans="1:5" ht="16.5" customHeight="1">
      <c r="A153" s="82" t="s">
        <v>28</v>
      </c>
      <c r="B153" s="60" t="s">
        <v>29</v>
      </c>
      <c r="C153" s="59" t="s">
        <v>489</v>
      </c>
      <c r="D153" s="82">
        <v>90</v>
      </c>
      <c r="E153" s="59" t="s">
        <v>474</v>
      </c>
    </row>
    <row r="154" spans="1:5" ht="16.5" customHeight="1">
      <c r="A154" s="82" t="s">
        <v>28</v>
      </c>
      <c r="B154" s="60" t="s">
        <v>29</v>
      </c>
      <c r="C154" s="59" t="s">
        <v>490</v>
      </c>
      <c r="D154" s="82">
        <v>90</v>
      </c>
      <c r="E154" s="59" t="s">
        <v>474</v>
      </c>
    </row>
    <row r="155" spans="1:5" ht="16.5" customHeight="1">
      <c r="A155" s="82" t="s">
        <v>28</v>
      </c>
      <c r="B155" s="60" t="s">
        <v>29</v>
      </c>
      <c r="C155" s="59" t="s">
        <v>491</v>
      </c>
      <c r="D155" s="82">
        <v>90</v>
      </c>
      <c r="E155" s="59" t="s">
        <v>474</v>
      </c>
    </row>
    <row r="156" spans="1:5" ht="16.5" customHeight="1">
      <c r="A156" s="82" t="s">
        <v>28</v>
      </c>
      <c r="B156" s="60" t="s">
        <v>29</v>
      </c>
      <c r="C156" s="59" t="s">
        <v>492</v>
      </c>
      <c r="D156" s="82">
        <v>90</v>
      </c>
      <c r="E156" s="59" t="s">
        <v>474</v>
      </c>
    </row>
    <row r="157" spans="1:5" ht="16.5" customHeight="1">
      <c r="A157" s="82" t="s">
        <v>28</v>
      </c>
      <c r="B157" s="60" t="s">
        <v>29</v>
      </c>
      <c r="C157" s="59" t="s">
        <v>493</v>
      </c>
      <c r="D157" s="82">
        <v>90</v>
      </c>
      <c r="E157" s="59" t="s">
        <v>474</v>
      </c>
    </row>
    <row r="158" spans="1:5" ht="16.5" customHeight="1">
      <c r="A158" s="82" t="s">
        <v>28</v>
      </c>
      <c r="B158" s="60" t="s">
        <v>29</v>
      </c>
      <c r="C158" s="59" t="s">
        <v>494</v>
      </c>
      <c r="D158" s="82">
        <v>90</v>
      </c>
      <c r="E158" s="59" t="s">
        <v>474</v>
      </c>
    </row>
    <row r="159" spans="1:5" ht="16.5" customHeight="1">
      <c r="A159" s="82" t="s">
        <v>19</v>
      </c>
      <c r="B159" s="60" t="s">
        <v>33</v>
      </c>
      <c r="C159" s="59" t="s">
        <v>473</v>
      </c>
      <c r="D159" s="82">
        <v>90</v>
      </c>
      <c r="E159" s="59" t="s">
        <v>474</v>
      </c>
    </row>
    <row r="160" spans="1:5" ht="16.5" customHeight="1">
      <c r="A160" s="82" t="s">
        <v>19</v>
      </c>
      <c r="B160" s="60" t="s">
        <v>33</v>
      </c>
      <c r="C160" s="59" t="s">
        <v>476</v>
      </c>
      <c r="D160" s="82">
        <v>90</v>
      </c>
      <c r="E160" s="59" t="s">
        <v>474</v>
      </c>
    </row>
    <row r="161" spans="1:5" ht="16.5" customHeight="1">
      <c r="A161" s="82" t="s">
        <v>19</v>
      </c>
      <c r="B161" s="60" t="s">
        <v>33</v>
      </c>
      <c r="C161" s="59" t="s">
        <v>477</v>
      </c>
      <c r="D161" s="82">
        <v>90</v>
      </c>
      <c r="E161" s="59" t="s">
        <v>474</v>
      </c>
    </row>
    <row r="162" spans="1:5" ht="16.5" customHeight="1">
      <c r="A162" s="82" t="s">
        <v>19</v>
      </c>
      <c r="B162" s="60" t="s">
        <v>33</v>
      </c>
      <c r="C162" s="59" t="s">
        <v>478</v>
      </c>
      <c r="D162" s="82">
        <v>90</v>
      </c>
      <c r="E162" s="59" t="s">
        <v>474</v>
      </c>
    </row>
    <row r="163" spans="1:5" ht="16.5" customHeight="1">
      <c r="A163" s="82" t="s">
        <v>19</v>
      </c>
      <c r="B163" s="60" t="s">
        <v>33</v>
      </c>
      <c r="C163" s="59" t="s">
        <v>479</v>
      </c>
      <c r="D163" s="82">
        <v>90</v>
      </c>
      <c r="E163" s="59" t="s">
        <v>474</v>
      </c>
    </row>
    <row r="164" spans="1:5" ht="16.5" customHeight="1">
      <c r="A164" s="82" t="s">
        <v>19</v>
      </c>
      <c r="B164" s="60" t="s">
        <v>33</v>
      </c>
      <c r="C164" s="59" t="s">
        <v>480</v>
      </c>
      <c r="D164" s="82">
        <v>90</v>
      </c>
      <c r="E164" s="59" t="s">
        <v>474</v>
      </c>
    </row>
    <row r="165" spans="1:5" ht="16.5" customHeight="1">
      <c r="A165" s="82" t="s">
        <v>19</v>
      </c>
      <c r="B165" s="60" t="s">
        <v>33</v>
      </c>
      <c r="C165" s="59" t="s">
        <v>481</v>
      </c>
      <c r="D165" s="82">
        <v>90</v>
      </c>
      <c r="E165" s="59" t="s">
        <v>474</v>
      </c>
    </row>
    <row r="166" spans="1:5" ht="16.5" customHeight="1">
      <c r="A166" s="82" t="s">
        <v>19</v>
      </c>
      <c r="B166" s="60" t="s">
        <v>33</v>
      </c>
      <c r="C166" s="59" t="s">
        <v>482</v>
      </c>
      <c r="D166" s="82">
        <v>90</v>
      </c>
      <c r="E166" s="59" t="s">
        <v>474</v>
      </c>
    </row>
    <row r="167" spans="1:5" ht="16.5" customHeight="1">
      <c r="A167" s="82" t="s">
        <v>19</v>
      </c>
      <c r="B167" s="60" t="s">
        <v>33</v>
      </c>
      <c r="C167" s="59" t="s">
        <v>483</v>
      </c>
      <c r="D167" s="82">
        <v>90</v>
      </c>
      <c r="E167" s="59" t="s">
        <v>474</v>
      </c>
    </row>
    <row r="168" spans="1:5" ht="16.5" customHeight="1">
      <c r="A168" s="82" t="s">
        <v>19</v>
      </c>
      <c r="B168" s="60" t="s">
        <v>33</v>
      </c>
      <c r="C168" s="59" t="s">
        <v>485</v>
      </c>
      <c r="D168" s="82">
        <v>90</v>
      </c>
      <c r="E168" s="59" t="s">
        <v>474</v>
      </c>
    </row>
    <row r="169" spans="1:5" ht="16.5" customHeight="1">
      <c r="A169" s="82" t="s">
        <v>19</v>
      </c>
      <c r="B169" s="60" t="s">
        <v>33</v>
      </c>
      <c r="C169" s="59" t="s">
        <v>486</v>
      </c>
      <c r="D169" s="82">
        <v>90</v>
      </c>
      <c r="E169" s="59" t="s">
        <v>474</v>
      </c>
    </row>
    <row r="170" spans="1:5" ht="16.5" customHeight="1">
      <c r="A170" s="82" t="s">
        <v>19</v>
      </c>
      <c r="B170" s="60" t="s">
        <v>33</v>
      </c>
      <c r="C170" s="59" t="s">
        <v>487</v>
      </c>
      <c r="D170" s="82">
        <v>90</v>
      </c>
      <c r="E170" s="59" t="s">
        <v>474</v>
      </c>
    </row>
    <row r="171" spans="1:5" ht="16.5" customHeight="1">
      <c r="A171" s="82" t="s">
        <v>19</v>
      </c>
      <c r="B171" s="60" t="s">
        <v>33</v>
      </c>
      <c r="C171" s="59" t="s">
        <v>488</v>
      </c>
      <c r="D171" s="82">
        <v>90</v>
      </c>
      <c r="E171" s="59" t="s">
        <v>474</v>
      </c>
    </row>
    <row r="172" spans="1:5" ht="16.5" customHeight="1">
      <c r="A172" s="82" t="s">
        <v>19</v>
      </c>
      <c r="B172" s="60" t="s">
        <v>33</v>
      </c>
      <c r="C172" s="59" t="s">
        <v>489</v>
      </c>
      <c r="D172" s="82">
        <v>90</v>
      </c>
      <c r="E172" s="59" t="s">
        <v>474</v>
      </c>
    </row>
    <row r="173" spans="1:5" ht="16.5" customHeight="1">
      <c r="A173" s="82" t="s">
        <v>19</v>
      </c>
      <c r="B173" s="60" t="s">
        <v>33</v>
      </c>
      <c r="C173" s="59" t="s">
        <v>490</v>
      </c>
      <c r="D173" s="82">
        <v>90</v>
      </c>
      <c r="E173" s="59" t="s">
        <v>474</v>
      </c>
    </row>
    <row r="174" spans="1:5" ht="16.5" customHeight="1">
      <c r="A174" s="82" t="s">
        <v>19</v>
      </c>
      <c r="B174" s="60" t="s">
        <v>33</v>
      </c>
      <c r="C174" s="59" t="s">
        <v>491</v>
      </c>
      <c r="D174" s="82">
        <v>90</v>
      </c>
      <c r="E174" s="59" t="s">
        <v>474</v>
      </c>
    </row>
    <row r="175" spans="1:5" ht="16.5" customHeight="1">
      <c r="A175" s="82" t="s">
        <v>19</v>
      </c>
      <c r="B175" s="60" t="s">
        <v>33</v>
      </c>
      <c r="C175" s="59" t="s">
        <v>492</v>
      </c>
      <c r="D175" s="82">
        <v>90</v>
      </c>
      <c r="E175" s="59" t="s">
        <v>474</v>
      </c>
    </row>
    <row r="176" spans="1:5" ht="16.5" customHeight="1">
      <c r="A176" s="82" t="s">
        <v>19</v>
      </c>
      <c r="B176" s="60" t="s">
        <v>33</v>
      </c>
      <c r="C176" s="59" t="s">
        <v>493</v>
      </c>
      <c r="D176" s="82">
        <v>90</v>
      </c>
      <c r="E176" s="59" t="s">
        <v>474</v>
      </c>
    </row>
  </sheetData>
  <phoneticPr fontId="2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サマリー</vt:lpstr>
      <vt:lpstr>拠点別設定値</vt:lpstr>
      <vt:lpstr>管理対象外シート</vt:lpstr>
      <vt:lpstr>列加工定義</vt:lpstr>
      <vt:lpstr>変数定義一覧</vt:lpstr>
      <vt:lpstr>要確認事項</vt:lpstr>
      <vt:lpstr>発注点リセット_部署別設定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塚田　淳一</cp:lastModifiedBy>
  <dcterms:modified xsi:type="dcterms:W3CDTF">2026-09-02T02:39:33Z</dcterms:modified>
</cp:coreProperties>
</file>