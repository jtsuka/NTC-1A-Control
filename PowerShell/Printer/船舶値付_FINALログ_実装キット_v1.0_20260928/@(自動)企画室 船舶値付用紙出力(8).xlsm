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225002\Desktop\"/>
    </mc:Choice>
  </mc:AlternateContent>
  <xr:revisionPtr revIDLastSave="0" documentId="13_ncr:1_{DC4383BD-E434-4C9C-8437-ECD297F81CD1}" xr6:coauthVersionLast="47" xr6:coauthVersionMax="47" xr10:uidLastSave="{00000000-0000-0000-0000-000000000000}"/>
  <bookViews>
    <workbookView xWindow="8790" yWindow="2415" windowWidth="21600" windowHeight="11295" xr2:uid="{91751D9B-1821-41DD-9C38-56F1E523590B}"/>
  </bookViews>
  <sheets>
    <sheet name="SW" sheetId="23" r:id="rId1"/>
    <sheet name="表紙" sheetId="22" state="hidden" r:id="rId2"/>
    <sheet name="main" sheetId="1" state="hidden" r:id="rId3"/>
    <sheet name="注番貼付シート" sheetId="15" state="hidden" r:id="rId4"/>
    <sheet name="設定" sheetId="21" state="hidden" r:id="rId5"/>
    <sheet name="setting" sheetId="20" r:id="rId6"/>
    <sheet name="temp" sheetId="11" r:id="rId7"/>
    <sheet name="model" sheetId="7" r:id="rId8"/>
    <sheet name="kanri1" sheetId="12" r:id="rId9"/>
  </sheets>
  <definedNames>
    <definedName name="_xlnm.Print_Area" localSheetId="8">kanri1!$E$3:$AG$24</definedName>
    <definedName name="_xlnm.Print_Titles" localSheetId="6">temp!$1:$3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1" i="12" l="1"/>
  <c r="P21" i="12"/>
  <c r="AE21" i="12" s="1"/>
  <c r="J21" i="12"/>
  <c r="AB21" i="12" s="1"/>
  <c r="V19" i="12"/>
  <c r="P19" i="12"/>
  <c r="J19" i="12"/>
  <c r="V17" i="12"/>
  <c r="P17" i="12"/>
  <c r="J17" i="12"/>
  <c r="V15" i="12"/>
  <c r="P15" i="12"/>
  <c r="J15" i="12"/>
  <c r="V13" i="12"/>
  <c r="P13" i="12"/>
  <c r="J13" i="12"/>
  <c r="V11" i="12"/>
  <c r="P11" i="12"/>
  <c r="J11" i="12"/>
  <c r="V9" i="12"/>
  <c r="P9" i="12"/>
  <c r="J9" i="12"/>
  <c r="E4" i="12"/>
  <c r="X3" i="12"/>
  <c r="AB17" i="12" l="1"/>
  <c r="AB13" i="12"/>
  <c r="AE17" i="12"/>
  <c r="AE19" i="12"/>
  <c r="AE13" i="12"/>
  <c r="AB9" i="12"/>
  <c r="AB15" i="12"/>
  <c r="AE15" i="12"/>
  <c r="AE9" i="12"/>
  <c r="P23" i="12"/>
  <c r="V23" i="12"/>
  <c r="J23" i="12"/>
  <c r="AB19" i="12"/>
  <c r="AB11" i="12"/>
  <c r="AE11" i="12"/>
  <c r="AE23" i="12" l="1"/>
  <c r="AB23" i="12"/>
</calcChain>
</file>

<file path=xl/sharedStrings.xml><?xml version="1.0" encoding="utf-8"?>
<sst xmlns="http://schemas.openxmlformats.org/spreadsheetml/2006/main" count="1071" uniqueCount="881">
  <si>
    <t>担当者コード</t>
    <rPh sb="0" eb="3">
      <t>タントウシャ</t>
    </rPh>
    <phoneticPr fontId="1"/>
  </si>
  <si>
    <t>ファイル形式</t>
    <rPh sb="4" eb="6">
      <t>ケイシキ</t>
    </rPh>
    <phoneticPr fontId="1"/>
  </si>
  <si>
    <t>印刷</t>
    <rPh sb="0" eb="2">
      <t>インサツ</t>
    </rPh>
    <phoneticPr fontId="1"/>
  </si>
  <si>
    <t>プリンター名</t>
    <rPh sb="5" eb="6">
      <t>メイ</t>
    </rPh>
    <phoneticPr fontId="1"/>
  </si>
  <si>
    <t>DocuWorks Printer</t>
  </si>
  <si>
    <t>FinePrint</t>
  </si>
  <si>
    <t>Microsoft Print to PDF</t>
  </si>
  <si>
    <t>【仙台】FF K043a for ApeosPort-VI C3371</t>
  </si>
  <si>
    <t>【札幌】FF K043a for ApeosPort-VI C3371</t>
  </si>
  <si>
    <t>【東京】FF K043a for ApeosPort-VI C3371</t>
  </si>
  <si>
    <t>【福岡】FF K043a for ApeosPort-VI C3371</t>
  </si>
  <si>
    <t>日付指定</t>
    <rPh sb="0" eb="2">
      <t>ヒヅケ</t>
    </rPh>
    <rPh sb="2" eb="4">
      <t>シテイ</t>
    </rPh>
    <phoneticPr fontId="1"/>
  </si>
  <si>
    <t>全件</t>
    <rPh sb="0" eb="2">
      <t>ゼンケン</t>
    </rPh>
    <phoneticPr fontId="1"/>
  </si>
  <si>
    <t>部署コード</t>
    <rPh sb="0" eb="2">
      <t>ブショ</t>
    </rPh>
    <phoneticPr fontId="1"/>
  </si>
  <si>
    <t>部署名</t>
    <rPh sb="0" eb="2">
      <t>ブショ</t>
    </rPh>
    <rPh sb="2" eb="3">
      <t>メイ</t>
    </rPh>
    <phoneticPr fontId="1"/>
  </si>
  <si>
    <t>B1901</t>
  </si>
  <si>
    <t>札幌営業所</t>
  </si>
  <si>
    <t>仙台営業所</t>
  </si>
  <si>
    <t>B1905</t>
  </si>
  <si>
    <t>東京営業所</t>
  </si>
  <si>
    <t>B1907</t>
  </si>
  <si>
    <t>福岡営業所</t>
  </si>
  <si>
    <t>B1911</t>
  </si>
  <si>
    <t>大阪営業所</t>
  </si>
  <si>
    <t>B1913</t>
  </si>
  <si>
    <t>B1915</t>
  </si>
  <si>
    <t>船舶機械部</t>
  </si>
  <si>
    <t>-</t>
    <phoneticPr fontId="1"/>
  </si>
  <si>
    <t>特販</t>
    <phoneticPr fontId="1"/>
  </si>
  <si>
    <t>指定なし</t>
    <rPh sb="0" eb="2">
      <t>シテイ</t>
    </rPh>
    <phoneticPr fontId="1"/>
  </si>
  <si>
    <t>未計上明細_</t>
    <phoneticPr fontId="1"/>
  </si>
  <si>
    <t>未計上明細（全件）_</t>
    <phoneticPr fontId="1"/>
  </si>
  <si>
    <t>取得ファイル名</t>
    <rPh sb="0" eb="2">
      <t>シュトク</t>
    </rPh>
    <rPh sb="6" eb="7">
      <t>メイ</t>
    </rPh>
    <phoneticPr fontId="1"/>
  </si>
  <si>
    <t>得意先</t>
    <rPh sb="0" eb="3">
      <t>トクイサキ</t>
    </rPh>
    <phoneticPr fontId="1"/>
  </si>
  <si>
    <t/>
  </si>
  <si>
    <t>経由先1</t>
    <rPh sb="0" eb="2">
      <t>ケイユ</t>
    </rPh>
    <rPh sb="2" eb="3">
      <t>サキ</t>
    </rPh>
    <phoneticPr fontId="1"/>
  </si>
  <si>
    <t>受注先</t>
    <rPh sb="0" eb="2">
      <t>ジュチュウ</t>
    </rPh>
    <rPh sb="2" eb="3">
      <t>サキ</t>
    </rPh>
    <phoneticPr fontId="1"/>
  </si>
  <si>
    <t>送り先</t>
    <rPh sb="0" eb="1">
      <t>オク</t>
    </rPh>
    <rPh sb="2" eb="3">
      <t>サキ</t>
    </rPh>
    <phoneticPr fontId="1"/>
  </si>
  <si>
    <t>発注者1</t>
    <rPh sb="0" eb="3">
      <t>ハッチュウシャ</t>
    </rPh>
    <phoneticPr fontId="1"/>
  </si>
  <si>
    <t>発注者2</t>
    <rPh sb="0" eb="3">
      <t>ハッチュウシャ</t>
    </rPh>
    <phoneticPr fontId="1"/>
  </si>
  <si>
    <t>発注者3</t>
    <rPh sb="0" eb="3">
      <t>ハッチュウシャ</t>
    </rPh>
    <phoneticPr fontId="1"/>
  </si>
  <si>
    <t>検査</t>
    <rPh sb="0" eb="2">
      <t>ケンサ</t>
    </rPh>
    <phoneticPr fontId="1"/>
  </si>
  <si>
    <t>船主</t>
    <rPh sb="0" eb="2">
      <t>センシュ</t>
    </rPh>
    <phoneticPr fontId="1"/>
  </si>
  <si>
    <t>船名</t>
    <rPh sb="0" eb="1">
      <t>フネ</t>
    </rPh>
    <rPh sb="1" eb="2">
      <t>ナ</t>
    </rPh>
    <phoneticPr fontId="1"/>
  </si>
  <si>
    <t>船番</t>
    <rPh sb="0" eb="1">
      <t>フネ</t>
    </rPh>
    <rPh sb="1" eb="2">
      <t>バン</t>
    </rPh>
    <phoneticPr fontId="1"/>
  </si>
  <si>
    <t>造船所</t>
    <phoneticPr fontId="1"/>
  </si>
  <si>
    <t>運賃</t>
    <rPh sb="0" eb="2">
      <t>ウンチン</t>
    </rPh>
    <phoneticPr fontId="1"/>
  </si>
  <si>
    <t>前納運送便</t>
    <rPh sb="0" eb="2">
      <t>ゼンノウ</t>
    </rPh>
    <rPh sb="2" eb="5">
      <t>ウンソウビン</t>
    </rPh>
    <phoneticPr fontId="1"/>
  </si>
  <si>
    <t>後納運送便</t>
    <rPh sb="0" eb="2">
      <t>コウノウ</t>
    </rPh>
    <rPh sb="2" eb="5">
      <t>ウンソウビン</t>
    </rPh>
    <phoneticPr fontId="1"/>
  </si>
  <si>
    <t>手配書行番号</t>
    <rPh sb="3" eb="4">
      <t>ギョウ</t>
    </rPh>
    <rPh sb="4" eb="6">
      <t>バンゴウ</t>
    </rPh>
    <phoneticPr fontId="1"/>
  </si>
  <si>
    <t>仮単価区分</t>
    <rPh sb="0" eb="1">
      <t>カリ</t>
    </rPh>
    <rPh sb="1" eb="3">
      <t>タンカ</t>
    </rPh>
    <rPh sb="3" eb="5">
      <t>クブン</t>
    </rPh>
    <phoneticPr fontId="1"/>
  </si>
  <si>
    <t>]</t>
    <phoneticPr fontId="1"/>
  </si>
  <si>
    <t>定価=</t>
    <rPh sb="0" eb="2">
      <t>テイカ</t>
    </rPh>
    <phoneticPr fontId="1"/>
  </si>
  <si>
    <t>請仕=</t>
    <rPh sb="0" eb="1">
      <t>ショウ</t>
    </rPh>
    <rPh sb="1" eb="2">
      <t>シ</t>
    </rPh>
    <phoneticPr fontId="1"/>
  </si>
  <si>
    <t>商品名</t>
    <rPh sb="0" eb="3">
      <t>ショウヒンメイ</t>
    </rPh>
    <phoneticPr fontId="1"/>
  </si>
  <si>
    <t>特記事項1</t>
    <rPh sb="0" eb="2">
      <t>トッキ</t>
    </rPh>
    <rPh sb="2" eb="4">
      <t>ジコウ</t>
    </rPh>
    <phoneticPr fontId="1"/>
  </si>
  <si>
    <t>経1仕=</t>
    <rPh sb="0" eb="1">
      <t>キョウ</t>
    </rPh>
    <rPh sb="2" eb="3">
      <t>シ</t>
    </rPh>
    <phoneticPr fontId="1"/>
  </si>
  <si>
    <t>商品コード</t>
    <rPh sb="0" eb="2">
      <t>ショウヒン</t>
    </rPh>
    <phoneticPr fontId="1"/>
  </si>
  <si>
    <t>商品情報</t>
    <rPh sb="0" eb="2">
      <t>ショウヒン</t>
    </rPh>
    <rPh sb="2" eb="4">
      <t>ジョウホウ</t>
    </rPh>
    <phoneticPr fontId="1"/>
  </si>
  <si>
    <t>特記事項2</t>
    <rPh sb="0" eb="4">
      <t>トッキジコウ</t>
    </rPh>
    <phoneticPr fontId="1"/>
  </si>
  <si>
    <t>受仕=</t>
    <rPh sb="0" eb="1">
      <t>ウケ</t>
    </rPh>
    <rPh sb="1" eb="2">
      <t>シ</t>
    </rPh>
    <phoneticPr fontId="1"/>
  </si>
  <si>
    <t>数量=</t>
    <rPh sb="0" eb="2">
      <t>スウリョウ</t>
    </rPh>
    <phoneticPr fontId="1"/>
  </si>
  <si>
    <t>(</t>
    <phoneticPr fontId="1"/>
  </si>
  <si>
    <t>)</t>
    <phoneticPr fontId="1"/>
  </si>
  <si>
    <t>粗利率[</t>
    <rPh sb="0" eb="2">
      <t>アラリ</t>
    </rPh>
    <rPh sb="2" eb="3">
      <t>リツ</t>
    </rPh>
    <phoneticPr fontId="1"/>
  </si>
  <si>
    <t>請＝</t>
    <rPh sb="0" eb="1">
      <t>ショウ</t>
    </rPh>
    <phoneticPr fontId="1"/>
  </si>
  <si>
    <t>経1＝</t>
    <rPh sb="0" eb="1">
      <t>キョウ</t>
    </rPh>
    <phoneticPr fontId="1"/>
  </si>
  <si>
    <t>受=</t>
    <rPh sb="0" eb="1">
      <t>ウケ</t>
    </rPh>
    <phoneticPr fontId="1"/>
  </si>
  <si>
    <t>発注者[</t>
    <rPh sb="0" eb="3">
      <t>ハッチュウシャ</t>
    </rPh>
    <phoneticPr fontId="1"/>
  </si>
  <si>
    <t>発注先[</t>
    <rPh sb="0" eb="2">
      <t>ハッチュウ</t>
    </rPh>
    <rPh sb="2" eb="3">
      <t>サキ</t>
    </rPh>
    <phoneticPr fontId="1"/>
  </si>
  <si>
    <t>発注番号[</t>
    <rPh sb="0" eb="2">
      <t>ハッチュウ</t>
    </rPh>
    <rPh sb="2" eb="4">
      <t>バンゴウ</t>
    </rPh>
    <phoneticPr fontId="1"/>
  </si>
  <si>
    <t>原価合計=</t>
    <rPh sb="0" eb="2">
      <t>ゲンカ</t>
    </rPh>
    <rPh sb="2" eb="4">
      <t>ゴウケイ</t>
    </rPh>
    <phoneticPr fontId="1"/>
  </si>
  <si>
    <t>大営担当出力順コード</t>
    <rPh sb="0" eb="1">
      <t>ダイ</t>
    </rPh>
    <rPh sb="1" eb="2">
      <t>エイ</t>
    </rPh>
    <rPh sb="2" eb="4">
      <t>タントウ</t>
    </rPh>
    <rPh sb="4" eb="6">
      <t>シュツリョク</t>
    </rPh>
    <rPh sb="6" eb="7">
      <t>ジュン</t>
    </rPh>
    <phoneticPr fontId="1"/>
  </si>
  <si>
    <t>大営担当出力順番号</t>
    <rPh sb="0" eb="1">
      <t>ダイ</t>
    </rPh>
    <rPh sb="1" eb="2">
      <t>エイ</t>
    </rPh>
    <rPh sb="2" eb="4">
      <t>タントウ</t>
    </rPh>
    <rPh sb="4" eb="6">
      <t>シュツリョク</t>
    </rPh>
    <rPh sb="7" eb="9">
      <t>バンゴウ</t>
    </rPh>
    <phoneticPr fontId="1"/>
  </si>
  <si>
    <t>在庫コード</t>
    <rPh sb="0" eb="2">
      <t>ザイコ</t>
    </rPh>
    <phoneticPr fontId="1"/>
  </si>
  <si>
    <t>在庫コード名</t>
    <rPh sb="0" eb="2">
      <t>ザイコ</t>
    </rPh>
    <rPh sb="5" eb="6">
      <t>メイ</t>
    </rPh>
    <phoneticPr fontId="1"/>
  </si>
  <si>
    <t>札幌在庫</t>
    <rPh sb="0" eb="2">
      <t>サッポロ</t>
    </rPh>
    <rPh sb="2" eb="4">
      <t>ザイコ</t>
    </rPh>
    <phoneticPr fontId="1"/>
  </si>
  <si>
    <t>仙台在庫</t>
    <rPh sb="0" eb="2">
      <t>センダイ</t>
    </rPh>
    <rPh sb="2" eb="4">
      <t>ザイコ</t>
    </rPh>
    <phoneticPr fontId="1"/>
  </si>
  <si>
    <t>東京在庫</t>
    <rPh sb="0" eb="2">
      <t>トウキョウ</t>
    </rPh>
    <rPh sb="2" eb="4">
      <t>ザイコ</t>
    </rPh>
    <phoneticPr fontId="1"/>
  </si>
  <si>
    <t>福岡在庫</t>
    <rPh sb="0" eb="2">
      <t>フクオカ</t>
    </rPh>
    <rPh sb="2" eb="4">
      <t>ザイコ</t>
    </rPh>
    <phoneticPr fontId="1"/>
  </si>
  <si>
    <t>大阪在庫</t>
    <rPh sb="0" eb="2">
      <t>オオサカ</t>
    </rPh>
    <rPh sb="2" eb="4">
      <t>ザイコ</t>
    </rPh>
    <phoneticPr fontId="1"/>
  </si>
  <si>
    <t>船舶在庫</t>
    <rPh sb="0" eb="2">
      <t>センパク</t>
    </rPh>
    <rPh sb="2" eb="4">
      <t>ザイコ</t>
    </rPh>
    <phoneticPr fontId="1"/>
  </si>
  <si>
    <t>工場番号</t>
  </si>
  <si>
    <t>受注番号</t>
  </si>
  <si>
    <t>受注伝票区分</t>
  </si>
  <si>
    <t>納入先番号</t>
  </si>
  <si>
    <t>需要家番号</t>
  </si>
  <si>
    <t>受注日</t>
  </si>
  <si>
    <t>最終出荷日</t>
  </si>
  <si>
    <t>品目名</t>
  </si>
  <si>
    <t>型式</t>
  </si>
  <si>
    <t>注文番号</t>
  </si>
  <si>
    <t>品目区分</t>
  </si>
  <si>
    <t>売上担当者</t>
  </si>
  <si>
    <t>出荷予定日</t>
  </si>
  <si>
    <t>納期</t>
  </si>
  <si>
    <t>受注数</t>
  </si>
  <si>
    <t>単価単位</t>
  </si>
  <si>
    <t>単位番号</t>
  </si>
  <si>
    <t>単位名</t>
  </si>
  <si>
    <t>引当数</t>
  </si>
  <si>
    <t>単価</t>
  </si>
  <si>
    <t>仮単価区分</t>
  </si>
  <si>
    <t>貿易単価区分</t>
  </si>
  <si>
    <t>金額</t>
  </si>
  <si>
    <t>特記事項１</t>
  </si>
  <si>
    <t>特記事項２</t>
  </si>
  <si>
    <t>出荷数</t>
  </si>
  <si>
    <t>完納区分</t>
  </si>
  <si>
    <t>計画立案済数</t>
  </si>
  <si>
    <t>生産計画立案日</t>
  </si>
  <si>
    <t>管理部門</t>
  </si>
  <si>
    <t>照会項目</t>
  </si>
  <si>
    <t>消費税率</t>
  </si>
  <si>
    <t>通貨</t>
  </si>
  <si>
    <t>通貨名</t>
  </si>
  <si>
    <t>他社品番</t>
  </si>
  <si>
    <t>他社品名</t>
  </si>
  <si>
    <t>引当在庫場所</t>
  </si>
  <si>
    <t>納入先名</t>
  </si>
  <si>
    <t>郵便番号</t>
  </si>
  <si>
    <t>住所１</t>
  </si>
  <si>
    <t>住所２</t>
  </si>
  <si>
    <t>住所３</t>
  </si>
  <si>
    <t>電話番号</t>
  </si>
  <si>
    <t>ＦＡＸ番号</t>
  </si>
  <si>
    <t>輸送ＬＴ</t>
  </si>
  <si>
    <t>図番</t>
  </si>
  <si>
    <t>生産工場</t>
  </si>
  <si>
    <t>レート</t>
  </si>
  <si>
    <t>自国通貨名</t>
  </si>
  <si>
    <t>自国通貨</t>
  </si>
  <si>
    <t>自国金額</t>
  </si>
  <si>
    <t>レート区分</t>
  </si>
  <si>
    <t>単価表示ケタ</t>
  </si>
  <si>
    <t>金額表示ケタ</t>
  </si>
  <si>
    <t>自国金額表示ケタ</t>
  </si>
  <si>
    <t>受注種別</t>
  </si>
  <si>
    <t>登録日</t>
  </si>
  <si>
    <t>更新日</t>
  </si>
  <si>
    <t>販売部門</t>
  </si>
  <si>
    <t>販売発注部門</t>
  </si>
  <si>
    <t>販売発注番号</t>
  </si>
  <si>
    <t>販売発注行番号</t>
  </si>
  <si>
    <t>販売発注区分</t>
  </si>
  <si>
    <t>登録日(SYSDATE)</t>
  </si>
  <si>
    <t>更新日(SYSDATE)</t>
  </si>
  <si>
    <t>会社コード</t>
  </si>
  <si>
    <t>受注請書発行区分</t>
  </si>
  <si>
    <t>受注確認書発行日</t>
  </si>
  <si>
    <t>データ有効フラグ</t>
  </si>
  <si>
    <t>ワークフロー区分</t>
  </si>
  <si>
    <t>ワークフローパターン</t>
  </si>
  <si>
    <t>フローパターンID</t>
  </si>
  <si>
    <t>フロー選定条件</t>
  </si>
  <si>
    <t>承認依頼番号</t>
  </si>
  <si>
    <t>承認日</t>
  </si>
  <si>
    <t>品目分類</t>
  </si>
  <si>
    <t>品目分類名</t>
  </si>
  <si>
    <t>取扱品目分類１</t>
  </si>
  <si>
    <t>品目区分１名称</t>
  </si>
  <si>
    <t>取扱品目分類２</t>
  </si>
  <si>
    <t>品目区分２名称</t>
  </si>
  <si>
    <t>取扱品目分類３</t>
  </si>
  <si>
    <t>品目区分３名称</t>
  </si>
  <si>
    <t>得意先分類１</t>
  </si>
  <si>
    <t>得意先種別１名称</t>
  </si>
  <si>
    <t>得意先分類２</t>
  </si>
  <si>
    <t>得意先種別２名称</t>
  </si>
  <si>
    <t>得意先分類３</t>
  </si>
  <si>
    <t>得意先種別３名称</t>
  </si>
  <si>
    <t>得意先分類４</t>
  </si>
  <si>
    <t>得意先種別４名称</t>
  </si>
  <si>
    <t>取引単位受注数</t>
  </si>
  <si>
    <t>取引単位コード</t>
  </si>
  <si>
    <t>取引単位</t>
  </si>
  <si>
    <t>変換率分子（取引単位）</t>
  </si>
  <si>
    <t>変換率分母（取引単位）</t>
  </si>
  <si>
    <t>手配入力区分</t>
  </si>
  <si>
    <t>版数</t>
  </si>
  <si>
    <t>手動採番フラグ</t>
  </si>
  <si>
    <t>請求先名</t>
  </si>
  <si>
    <t>経由先名１</t>
  </si>
  <si>
    <t>経由先番号２</t>
  </si>
  <si>
    <t>経由先名２</t>
  </si>
  <si>
    <t>受注先名</t>
  </si>
  <si>
    <t>経由先番号３</t>
  </si>
  <si>
    <t>経由先名３</t>
  </si>
  <si>
    <t>経由営業所番号</t>
  </si>
  <si>
    <t>責任部門</t>
  </si>
  <si>
    <t>定価印字区分</t>
  </si>
  <si>
    <t>受領書発行区分</t>
  </si>
  <si>
    <t>受注者</t>
  </si>
  <si>
    <t>前納運送便コード</t>
  </si>
  <si>
    <t>後納運送便コード</t>
  </si>
  <si>
    <t>運賃コード</t>
  </si>
  <si>
    <t>代表荷姿</t>
  </si>
  <si>
    <t>発注者１</t>
  </si>
  <si>
    <t>発注者２</t>
  </si>
  <si>
    <t>発注者３</t>
  </si>
  <si>
    <t>納期（ヘッダ）</t>
  </si>
  <si>
    <t>特記事項（ヘッダ）</t>
  </si>
  <si>
    <t>エンジン機種</t>
  </si>
  <si>
    <t>KW出力</t>
  </si>
  <si>
    <t>PS馬力</t>
  </si>
  <si>
    <t>回転数</t>
  </si>
  <si>
    <t>減速比</t>
  </si>
  <si>
    <t>回転方向</t>
  </si>
  <si>
    <t>クラッチ</t>
  </si>
  <si>
    <t>基</t>
  </si>
  <si>
    <t>軸</t>
  </si>
  <si>
    <t>セット</t>
  </si>
  <si>
    <t>船種</t>
  </si>
  <si>
    <t>新船区</t>
  </si>
  <si>
    <t>船名</t>
  </si>
  <si>
    <t>船番</t>
  </si>
  <si>
    <t>船主</t>
  </si>
  <si>
    <t>造船所</t>
  </si>
  <si>
    <t>検査</t>
  </si>
  <si>
    <t>ペラ軸識別CD</t>
  </si>
  <si>
    <t>回答希望日</t>
  </si>
  <si>
    <t>回答予定日</t>
  </si>
  <si>
    <t>回答日</t>
  </si>
  <si>
    <t>回答者</t>
  </si>
  <si>
    <t>出図依頼区分</t>
  </si>
  <si>
    <t>出図依頼内容</t>
  </si>
  <si>
    <t>出図完了区分</t>
  </si>
  <si>
    <t>図面_販</t>
  </si>
  <si>
    <t>図面_承</t>
  </si>
  <si>
    <t>図面_確</t>
  </si>
  <si>
    <t>図面_工</t>
  </si>
  <si>
    <t>図面_振</t>
  </si>
  <si>
    <t>図面_完</t>
  </si>
  <si>
    <t>図面_ペ</t>
  </si>
  <si>
    <t>部署_倉</t>
  </si>
  <si>
    <t>部署_購</t>
  </si>
  <si>
    <t>部署_外</t>
  </si>
  <si>
    <t>部署_大</t>
  </si>
  <si>
    <t>部署_小</t>
  </si>
  <si>
    <t>部署_設</t>
  </si>
  <si>
    <t>部署_検</t>
  </si>
  <si>
    <t>部署_品</t>
  </si>
  <si>
    <t>部署_ペ</t>
  </si>
  <si>
    <t>部署_船</t>
  </si>
  <si>
    <t>部署_資</t>
  </si>
  <si>
    <t>部署_井</t>
  </si>
  <si>
    <t>部署_電</t>
  </si>
  <si>
    <t>部署_飯</t>
  </si>
  <si>
    <t>部署_管</t>
  </si>
  <si>
    <t>部署_出</t>
  </si>
  <si>
    <t>参照見積番号</t>
  </si>
  <si>
    <t>参照版数</t>
  </si>
  <si>
    <t>参照手配書番号</t>
  </si>
  <si>
    <t>一式計上区分</t>
  </si>
  <si>
    <t>計上先区分</t>
  </si>
  <si>
    <t>請求先_一式金額</t>
  </si>
  <si>
    <t>経由先１_一式金額</t>
  </si>
  <si>
    <t>経由先２_一式金額</t>
  </si>
  <si>
    <t>受注先_一式金額</t>
  </si>
  <si>
    <t>商品情報</t>
  </si>
  <si>
    <t>検査番号</t>
  </si>
  <si>
    <t>納期（明細）</t>
  </si>
  <si>
    <t>製造日数</t>
  </si>
  <si>
    <t>加工時間</t>
  </si>
  <si>
    <t>商談状況</t>
  </si>
  <si>
    <t>定価存在フラグ</t>
  </si>
  <si>
    <t>定価</t>
  </si>
  <si>
    <t>別作表示内容</t>
  </si>
  <si>
    <t>請求先_単価</t>
  </si>
  <si>
    <t>請求先_金額</t>
  </si>
  <si>
    <t>経由先２_仕切率</t>
  </si>
  <si>
    <t>経由先２_単価</t>
  </si>
  <si>
    <t>経由先２_金額</t>
  </si>
  <si>
    <t>受注先_仕切率</t>
  </si>
  <si>
    <t>営業原価_単価</t>
  </si>
  <si>
    <t>営業原価_金額</t>
  </si>
  <si>
    <t>製造原価_単価</t>
  </si>
  <si>
    <t>製造原価_金額</t>
  </si>
  <si>
    <t>経由先３_単価</t>
  </si>
  <si>
    <t>送り先_単価</t>
  </si>
  <si>
    <t>手配書発行日</t>
  </si>
  <si>
    <t>手配書発行日（営業控）</t>
  </si>
  <si>
    <t>軸径</t>
  </si>
  <si>
    <t>長さ</t>
  </si>
  <si>
    <t>厚み</t>
  </si>
  <si>
    <t>寸法記号</t>
  </si>
  <si>
    <t>定尺区分</t>
  </si>
  <si>
    <t>溝区分</t>
  </si>
  <si>
    <t>プロペラ_ダイヤ</t>
  </si>
  <si>
    <t>プロペラ_ピッチ</t>
  </si>
  <si>
    <t>プロペラ_回転方向</t>
  </si>
  <si>
    <t>プロペラ_形状</t>
  </si>
  <si>
    <t>プロペラ_材質</t>
  </si>
  <si>
    <t>プロペラ_翼数</t>
  </si>
  <si>
    <t>プロペラ_AR</t>
  </si>
  <si>
    <t>プロペラ_軸径</t>
  </si>
  <si>
    <t>プロペラ_加工</t>
  </si>
  <si>
    <t>プロペラ_検査</t>
  </si>
  <si>
    <t>入力者</t>
  </si>
  <si>
    <t>粗利率</t>
  </si>
  <si>
    <t>手配書番号複写フラグ</t>
  </si>
  <si>
    <t>処理モード</t>
  </si>
  <si>
    <t>I_SEQ</t>
  </si>
  <si>
    <t>発注番号</t>
  </si>
  <si>
    <t>手配担当者</t>
  </si>
  <si>
    <t>発注先名</t>
  </si>
  <si>
    <t>出荷番号</t>
  </si>
  <si>
    <t>受注担当者名</t>
  </si>
  <si>
    <t>品揃者</t>
  </si>
  <si>
    <t>梱包者</t>
  </si>
  <si>
    <t>運送便名</t>
  </si>
  <si>
    <t>運賃名</t>
  </si>
  <si>
    <t>発注担当者</t>
  </si>
  <si>
    <t>得意先締め日</t>
  </si>
  <si>
    <t>木箱</t>
  </si>
  <si>
    <t>木枠</t>
  </si>
  <si>
    <t>段ボール</t>
  </si>
  <si>
    <t>縄締</t>
  </si>
  <si>
    <t>パレット</t>
  </si>
  <si>
    <t>小包</t>
  </si>
  <si>
    <t>重量</t>
  </si>
  <si>
    <t>出荷検収日</t>
  </si>
  <si>
    <t>分納出荷数</t>
  </si>
  <si>
    <t>出荷更新日(SYSDATE)</t>
  </si>
  <si>
    <t>得意先ランク</t>
  </si>
  <si>
    <t>材料ランク</t>
  </si>
  <si>
    <t>地区コード</t>
  </si>
  <si>
    <t>地区名称</t>
  </si>
  <si>
    <t>県名</t>
  </si>
  <si>
    <t>作表担当者</t>
  </si>
  <si>
    <t>処理区分名</t>
  </si>
  <si>
    <t>オペレーター名</t>
  </si>
  <si>
    <t>不明項目０１(制御項目のため日本語項目名なし）</t>
    <phoneticPr fontId="1"/>
  </si>
  <si>
    <t xml:space="preserve">【  </t>
    <phoneticPr fontId="1"/>
  </si>
  <si>
    <t>】</t>
    <phoneticPr fontId="1"/>
  </si>
  <si>
    <t>得Rank=</t>
    <rPh sb="0" eb="1">
      <t>トク</t>
    </rPh>
    <phoneticPr fontId="1"/>
  </si>
  <si>
    <t>受注者</t>
    <rPh sb="0" eb="3">
      <t>ジュチュウシャ</t>
    </rPh>
    <phoneticPr fontId="1"/>
  </si>
  <si>
    <t>担当者</t>
    <rPh sb="0" eb="3">
      <t>タントウシャ</t>
    </rPh>
    <phoneticPr fontId="1"/>
  </si>
  <si>
    <t>手配日</t>
    <rPh sb="0" eb="2">
      <t>テハイ</t>
    </rPh>
    <rPh sb="2" eb="3">
      <t>ビ</t>
    </rPh>
    <phoneticPr fontId="1"/>
  </si>
  <si>
    <t>手配納期</t>
    <rPh sb="0" eb="2">
      <t>テハイ</t>
    </rPh>
    <rPh sb="2" eb="4">
      <t>ノウキ</t>
    </rPh>
    <phoneticPr fontId="1"/>
  </si>
  <si>
    <t>最終出荷日</t>
    <rPh sb="0" eb="2">
      <t>サイシュウ</t>
    </rPh>
    <rPh sb="2" eb="4">
      <t>シュッカ</t>
    </rPh>
    <rPh sb="4" eb="5">
      <t>ビ</t>
    </rPh>
    <phoneticPr fontId="1"/>
  </si>
  <si>
    <t>材Rank=</t>
    <rPh sb="0" eb="1">
      <t>ザイ</t>
    </rPh>
    <phoneticPr fontId="1"/>
  </si>
  <si>
    <t>書込座標</t>
    <rPh sb="0" eb="2">
      <t>カキコ</t>
    </rPh>
    <rPh sb="2" eb="4">
      <t>ザヒョウ</t>
    </rPh>
    <phoneticPr fontId="1"/>
  </si>
  <si>
    <t>バーコード注番</t>
    <rPh sb="5" eb="6">
      <t>チュウ</t>
    </rPh>
    <rPh sb="6" eb="7">
      <t>バン</t>
    </rPh>
    <phoneticPr fontId="1"/>
  </si>
  <si>
    <t>B1</t>
    <phoneticPr fontId="1"/>
  </si>
  <si>
    <t>得意先番号</t>
    <phoneticPr fontId="1"/>
  </si>
  <si>
    <t>M1</t>
    <phoneticPr fontId="1"/>
  </si>
  <si>
    <t>H1</t>
    <phoneticPr fontId="1"/>
  </si>
  <si>
    <t>BF1</t>
    <phoneticPr fontId="1"/>
  </si>
  <si>
    <t>AS1</t>
    <phoneticPr fontId="1"/>
  </si>
  <si>
    <t>A2</t>
    <phoneticPr fontId="1"/>
  </si>
  <si>
    <t>締め日表示</t>
    <rPh sb="0" eb="1">
      <t>シ</t>
    </rPh>
    <rPh sb="2" eb="3">
      <t>ビ</t>
    </rPh>
    <rPh sb="3" eb="5">
      <t>ヒョウジ</t>
    </rPh>
    <phoneticPr fontId="1"/>
  </si>
  <si>
    <t>得意先ランク</t>
    <rPh sb="0" eb="3">
      <t>トクイサキ</t>
    </rPh>
    <phoneticPr fontId="1"/>
  </si>
  <si>
    <t>材料ランク</t>
    <rPh sb="0" eb="2">
      <t>ザイリョウ</t>
    </rPh>
    <phoneticPr fontId="1"/>
  </si>
  <si>
    <t>H2</t>
    <phoneticPr fontId="1"/>
  </si>
  <si>
    <t>H3</t>
    <phoneticPr fontId="1"/>
  </si>
  <si>
    <t>J2</t>
    <phoneticPr fontId="1"/>
  </si>
  <si>
    <t>注番</t>
    <rPh sb="0" eb="2">
      <t>チュウバン</t>
    </rPh>
    <phoneticPr fontId="1"/>
  </si>
  <si>
    <t>R3</t>
    <phoneticPr fontId="1"/>
  </si>
  <si>
    <t>Z3</t>
    <phoneticPr fontId="1"/>
  </si>
  <si>
    <t>AH3</t>
    <phoneticPr fontId="1"/>
  </si>
  <si>
    <t>AM3</t>
    <phoneticPr fontId="1"/>
  </si>
  <si>
    <t>責任部門</t>
    <rPh sb="0" eb="4">
      <t>セキニンブモン</t>
    </rPh>
    <phoneticPr fontId="1"/>
  </si>
  <si>
    <t>経由営業所</t>
    <rPh sb="0" eb="5">
      <t>ケイユエイギョウショ</t>
    </rPh>
    <phoneticPr fontId="1"/>
  </si>
  <si>
    <t>BE3</t>
    <phoneticPr fontId="1"/>
  </si>
  <si>
    <t>BO3</t>
    <phoneticPr fontId="1"/>
  </si>
  <si>
    <t>一式金額表示</t>
    <rPh sb="0" eb="2">
      <t>イッシキ</t>
    </rPh>
    <rPh sb="2" eb="4">
      <t>キンガク</t>
    </rPh>
    <rPh sb="4" eb="6">
      <t>ヒョウジ</t>
    </rPh>
    <phoneticPr fontId="1"/>
  </si>
  <si>
    <t>手配日</t>
    <rPh sb="0" eb="3">
      <t>テハイビ</t>
    </rPh>
    <phoneticPr fontId="1"/>
  </si>
  <si>
    <t>手配納期</t>
    <rPh sb="0" eb="4">
      <t>テハイノウキ</t>
    </rPh>
    <phoneticPr fontId="1"/>
  </si>
  <si>
    <t>最終出荷日</t>
    <rPh sb="0" eb="5">
      <t>サイシュウシュッカビ</t>
    </rPh>
    <phoneticPr fontId="1"/>
  </si>
  <si>
    <t>F4</t>
    <phoneticPr fontId="1"/>
  </si>
  <si>
    <t>L4</t>
    <phoneticPr fontId="1"/>
  </si>
  <si>
    <t>AQ4</t>
    <phoneticPr fontId="1"/>
  </si>
  <si>
    <t>AW4</t>
    <phoneticPr fontId="1"/>
  </si>
  <si>
    <t>得意先コード</t>
    <rPh sb="0" eb="3">
      <t>トクイサキ</t>
    </rPh>
    <phoneticPr fontId="1"/>
  </si>
  <si>
    <t>得意先名</t>
    <rPh sb="0" eb="3">
      <t>トクイサキ</t>
    </rPh>
    <rPh sb="3" eb="4">
      <t>メイ</t>
    </rPh>
    <phoneticPr fontId="1"/>
  </si>
  <si>
    <t>経由先コード</t>
    <rPh sb="0" eb="3">
      <t>ケイユサキ</t>
    </rPh>
    <phoneticPr fontId="1"/>
  </si>
  <si>
    <t>経由先名</t>
    <rPh sb="0" eb="3">
      <t>ケイユサキ</t>
    </rPh>
    <rPh sb="3" eb="4">
      <t>メイ</t>
    </rPh>
    <phoneticPr fontId="1"/>
  </si>
  <si>
    <t>F5</t>
    <phoneticPr fontId="1"/>
  </si>
  <si>
    <t>L5</t>
    <phoneticPr fontId="1"/>
  </si>
  <si>
    <t>受注先コード</t>
    <rPh sb="0" eb="3">
      <t>ジュチュウサキ</t>
    </rPh>
    <phoneticPr fontId="1"/>
  </si>
  <si>
    <t>受注先名</t>
    <rPh sb="0" eb="3">
      <t>ジュチュウサキ</t>
    </rPh>
    <rPh sb="3" eb="4">
      <t>メイ</t>
    </rPh>
    <phoneticPr fontId="1"/>
  </si>
  <si>
    <t>AW5</t>
    <phoneticPr fontId="1"/>
  </si>
  <si>
    <t>F6</t>
    <phoneticPr fontId="1"/>
  </si>
  <si>
    <t>L6</t>
    <phoneticPr fontId="1"/>
  </si>
  <si>
    <t>送り先コード</t>
    <rPh sb="0" eb="1">
      <t>オク</t>
    </rPh>
    <rPh sb="2" eb="3">
      <t>サキ</t>
    </rPh>
    <phoneticPr fontId="1"/>
  </si>
  <si>
    <t>送り先名</t>
    <rPh sb="0" eb="1">
      <t>オク</t>
    </rPh>
    <rPh sb="2" eb="3">
      <t>サキ</t>
    </rPh>
    <rPh sb="3" eb="4">
      <t>メイ</t>
    </rPh>
    <phoneticPr fontId="1"/>
  </si>
  <si>
    <t>A7</t>
    <phoneticPr fontId="1"/>
  </si>
  <si>
    <t>F8</t>
    <phoneticPr fontId="1"/>
  </si>
  <si>
    <t>K8</t>
    <phoneticPr fontId="1"/>
  </si>
  <si>
    <t>P8</t>
    <phoneticPr fontId="1"/>
  </si>
  <si>
    <t>U8</t>
    <phoneticPr fontId="1"/>
  </si>
  <si>
    <t>Z8</t>
    <phoneticPr fontId="1"/>
  </si>
  <si>
    <t>AG8</t>
    <phoneticPr fontId="1"/>
  </si>
  <si>
    <t>AP8</t>
    <phoneticPr fontId="1"/>
  </si>
  <si>
    <t>AW8</t>
    <phoneticPr fontId="1"/>
  </si>
  <si>
    <t>BE8</t>
    <phoneticPr fontId="1"/>
  </si>
  <si>
    <t>BJ8</t>
    <phoneticPr fontId="1"/>
  </si>
  <si>
    <t>BO8</t>
    <phoneticPr fontId="1"/>
  </si>
  <si>
    <t>標準表示</t>
    <rPh sb="0" eb="2">
      <t>ヒョウジュン</t>
    </rPh>
    <rPh sb="2" eb="4">
      <t>ヒョウジ</t>
    </rPh>
    <phoneticPr fontId="1"/>
  </si>
  <si>
    <t>発注者１</t>
    <rPh sb="0" eb="3">
      <t>ハッチュウシャ</t>
    </rPh>
    <phoneticPr fontId="1"/>
  </si>
  <si>
    <t>発注者２</t>
    <rPh sb="0" eb="3">
      <t>ハッチュウシャ</t>
    </rPh>
    <phoneticPr fontId="1"/>
  </si>
  <si>
    <t>発注者３</t>
    <rPh sb="0" eb="3">
      <t>ハッチュウシャ</t>
    </rPh>
    <phoneticPr fontId="1"/>
  </si>
  <si>
    <t>船名</t>
    <rPh sb="0" eb="2">
      <t>センメイ</t>
    </rPh>
    <phoneticPr fontId="1"/>
  </si>
  <si>
    <t>造船所</t>
    <rPh sb="0" eb="3">
      <t>ゾウセンショ</t>
    </rPh>
    <phoneticPr fontId="1"/>
  </si>
  <si>
    <t>前納運送便</t>
    <rPh sb="0" eb="5">
      <t>ゼンノウウンソウビン</t>
    </rPh>
    <phoneticPr fontId="1"/>
  </si>
  <si>
    <t>後納運送便</t>
    <rPh sb="0" eb="5">
      <t>コウノウウンソウビン</t>
    </rPh>
    <phoneticPr fontId="1"/>
  </si>
  <si>
    <t>K9</t>
    <phoneticPr fontId="1"/>
  </si>
  <si>
    <t>P9</t>
    <phoneticPr fontId="1"/>
  </si>
  <si>
    <t>AV9</t>
    <phoneticPr fontId="1"/>
  </si>
  <si>
    <t>BE9</t>
    <phoneticPr fontId="1"/>
  </si>
  <si>
    <t>BO9</t>
    <phoneticPr fontId="1"/>
  </si>
  <si>
    <t>出荷明細番号</t>
    <rPh sb="0" eb="6">
      <t>シュッカメイサイバンゴウ</t>
    </rPh>
    <phoneticPr fontId="1"/>
  </si>
  <si>
    <t>定価</t>
    <rPh sb="0" eb="2">
      <t>テイカ</t>
    </rPh>
    <phoneticPr fontId="1"/>
  </si>
  <si>
    <t>請求仕切り</t>
    <rPh sb="0" eb="4">
      <t>セイキュウシキ</t>
    </rPh>
    <phoneticPr fontId="1"/>
  </si>
  <si>
    <t>A10</t>
    <phoneticPr fontId="1"/>
  </si>
  <si>
    <t>F10</t>
    <phoneticPr fontId="1"/>
  </si>
  <si>
    <t>O10</t>
    <phoneticPr fontId="1"/>
  </si>
  <si>
    <t>AW10</t>
    <phoneticPr fontId="1"/>
  </si>
  <si>
    <t>BO10</t>
    <phoneticPr fontId="1"/>
  </si>
  <si>
    <t>手配行番号</t>
    <rPh sb="0" eb="3">
      <t>テハイギョウ</t>
    </rPh>
    <rPh sb="3" eb="5">
      <t>バンゴウ</t>
    </rPh>
    <phoneticPr fontId="1"/>
  </si>
  <si>
    <t>仮単価区分</t>
    <rPh sb="0" eb="5">
      <t>カリタンカクブン</t>
    </rPh>
    <phoneticPr fontId="1"/>
  </si>
  <si>
    <t>特記事項1</t>
    <rPh sb="0" eb="4">
      <t>トッキジコウ</t>
    </rPh>
    <phoneticPr fontId="1"/>
  </si>
  <si>
    <t>経由1仕切り</t>
    <rPh sb="0" eb="2">
      <t>ケイユ</t>
    </rPh>
    <rPh sb="3" eb="5">
      <t>シキ</t>
    </rPh>
    <phoneticPr fontId="1"/>
  </si>
  <si>
    <t>商品名:</t>
    <rPh sb="0" eb="3">
      <t>ショウヒンメイ</t>
    </rPh>
    <phoneticPr fontId="1"/>
  </si>
  <si>
    <t>M11</t>
    <phoneticPr fontId="1"/>
  </si>
  <si>
    <t>AW11</t>
    <phoneticPr fontId="1"/>
  </si>
  <si>
    <t>BO11</t>
    <phoneticPr fontId="1"/>
  </si>
  <si>
    <t>商品情報</t>
    <rPh sb="0" eb="4">
      <t>ショウヒンジョウホウ</t>
    </rPh>
    <phoneticPr fontId="1"/>
  </si>
  <si>
    <t>受注仕切り</t>
    <rPh sb="0" eb="2">
      <t>ジュチュウ</t>
    </rPh>
    <rPh sb="2" eb="4">
      <t>シキ</t>
    </rPh>
    <phoneticPr fontId="1"/>
  </si>
  <si>
    <t>数量</t>
    <rPh sb="0" eb="2">
      <t>スウリョウ</t>
    </rPh>
    <phoneticPr fontId="1"/>
  </si>
  <si>
    <t>数量単位</t>
    <rPh sb="0" eb="4">
      <t>スウリョウタンイ</t>
    </rPh>
    <phoneticPr fontId="1"/>
  </si>
  <si>
    <t>粗利率</t>
    <rPh sb="0" eb="3">
      <t>アラリリツ</t>
    </rPh>
    <phoneticPr fontId="1"/>
  </si>
  <si>
    <t>A12</t>
    <phoneticPr fontId="1"/>
  </si>
  <si>
    <t>I12</t>
    <phoneticPr fontId="1"/>
  </si>
  <si>
    <t>N12</t>
    <phoneticPr fontId="1"/>
  </si>
  <si>
    <t>AY12</t>
    <phoneticPr fontId="1"/>
  </si>
  <si>
    <t>BC12</t>
    <phoneticPr fontId="1"/>
  </si>
  <si>
    <t>BJ12</t>
    <phoneticPr fontId="1"/>
  </si>
  <si>
    <t>F13</t>
    <phoneticPr fontId="1"/>
  </si>
  <si>
    <t>O13</t>
    <phoneticPr fontId="1"/>
  </si>
  <si>
    <t>V13</t>
    <phoneticPr fontId="1"/>
  </si>
  <si>
    <t>AI13</t>
    <phoneticPr fontId="1"/>
  </si>
  <si>
    <t>AS13</t>
    <phoneticPr fontId="1"/>
  </si>
  <si>
    <t>BC13</t>
    <phoneticPr fontId="1"/>
  </si>
  <si>
    <t>BJ13</t>
    <phoneticPr fontId="1"/>
  </si>
  <si>
    <t>請求先単価</t>
    <rPh sb="0" eb="3">
      <t>セイキュウサキ</t>
    </rPh>
    <rPh sb="3" eb="5">
      <t>タンカ</t>
    </rPh>
    <phoneticPr fontId="1"/>
  </si>
  <si>
    <t>経由先1単価</t>
    <rPh sb="0" eb="2">
      <t>ケイユ</t>
    </rPh>
    <rPh sb="2" eb="3">
      <t>サキ</t>
    </rPh>
    <rPh sb="4" eb="6">
      <t>タンカ</t>
    </rPh>
    <phoneticPr fontId="1"/>
  </si>
  <si>
    <t>受注先単価</t>
    <rPh sb="0" eb="3">
      <t>ジュチュウサキ</t>
    </rPh>
    <rPh sb="3" eb="5">
      <t>タンカ</t>
    </rPh>
    <phoneticPr fontId="1"/>
  </si>
  <si>
    <t>請求先合計</t>
    <rPh sb="0" eb="3">
      <t>セイキュウサキ</t>
    </rPh>
    <rPh sb="3" eb="5">
      <t>ゴウケイ</t>
    </rPh>
    <phoneticPr fontId="1"/>
  </si>
  <si>
    <t>営業原価合計</t>
    <rPh sb="0" eb="4">
      <t>エイギョウゲンカ</t>
    </rPh>
    <rPh sb="4" eb="6">
      <t>ゴウケイ</t>
    </rPh>
    <phoneticPr fontId="1"/>
  </si>
  <si>
    <t>営業原価単価</t>
    <rPh sb="0" eb="2">
      <t>エイギョウ</t>
    </rPh>
    <rPh sb="2" eb="4">
      <t>ゲンカ</t>
    </rPh>
    <rPh sb="4" eb="6">
      <t>タンカ</t>
    </rPh>
    <phoneticPr fontId="1"/>
  </si>
  <si>
    <t>A14</t>
    <phoneticPr fontId="1"/>
  </si>
  <si>
    <t>Y14</t>
    <phoneticPr fontId="1"/>
  </si>
  <si>
    <t>AI14</t>
    <phoneticPr fontId="1"/>
  </si>
  <si>
    <t>BC14</t>
    <phoneticPr fontId="1"/>
  </si>
  <si>
    <t>発注者</t>
    <rPh sb="0" eb="3">
      <t>ハッチュウシャ</t>
    </rPh>
    <phoneticPr fontId="1"/>
  </si>
  <si>
    <t>発注先</t>
    <rPh sb="0" eb="3">
      <t>ハッチュウサキ</t>
    </rPh>
    <phoneticPr fontId="1"/>
  </si>
  <si>
    <t>発注番号</t>
    <rPh sb="0" eb="4">
      <t>ハッチュウバンゴウ</t>
    </rPh>
    <phoneticPr fontId="1"/>
  </si>
  <si>
    <t>A15</t>
    <phoneticPr fontId="1"/>
  </si>
  <si>
    <t>スペース用</t>
    <rPh sb="4" eb="5">
      <t>ヨウ</t>
    </rPh>
    <phoneticPr fontId="1"/>
  </si>
  <si>
    <t>DLデータ列番号（兼、ID)</t>
    <rPh sb="5" eb="8">
      <t>レツバンゴウ</t>
    </rPh>
    <rPh sb="9" eb="10">
      <t>カ</t>
    </rPh>
    <phoneticPr fontId="1"/>
  </si>
  <si>
    <t>T-ONLY</t>
    <phoneticPr fontId="1"/>
  </si>
  <si>
    <t>売上担当者</t>
    <phoneticPr fontId="1"/>
  </si>
  <si>
    <t>手配書抽出（手配番号指定）_</t>
  </si>
  <si>
    <t>注番指定</t>
    <rPh sb="0" eb="2">
      <t>チュウバン</t>
    </rPh>
    <rPh sb="2" eb="4">
      <t>シテイ</t>
    </rPh>
    <phoneticPr fontId="1"/>
  </si>
  <si>
    <t>受注行番号</t>
    <phoneticPr fontId="1"/>
  </si>
  <si>
    <t>製番</t>
    <phoneticPr fontId="1"/>
  </si>
  <si>
    <t>TOP</t>
    <phoneticPr fontId="1"/>
  </si>
  <si>
    <t>書込箇所分類</t>
    <rPh sb="0" eb="2">
      <t>カキコ</t>
    </rPh>
    <rPh sb="2" eb="4">
      <t>カショ</t>
    </rPh>
    <rPh sb="4" eb="6">
      <t>ブンルイ</t>
    </rPh>
    <phoneticPr fontId="1"/>
  </si>
  <si>
    <t>BODY</t>
    <phoneticPr fontId="1"/>
  </si>
  <si>
    <t>IDの列(システムで使用)</t>
    <rPh sb="3" eb="4">
      <t>レツ</t>
    </rPh>
    <rPh sb="10" eb="12">
      <t>シヨウ</t>
    </rPh>
    <phoneticPr fontId="1"/>
  </si>
  <si>
    <t>DLデータ項目（システムで不使用)</t>
    <rPh sb="5" eb="7">
      <t>コウモク</t>
    </rPh>
    <rPh sb="13" eb="16">
      <t>フシヨウ</t>
    </rPh>
    <phoneticPr fontId="1"/>
  </si>
  <si>
    <t>HEAD</t>
    <phoneticPr fontId="1"/>
  </si>
  <si>
    <t xml:space="preserve"> </t>
  </si>
  <si>
    <t>検査番号</t>
    <rPh sb="0" eb="2">
      <t>ケンサ</t>
    </rPh>
    <rPh sb="2" eb="4">
      <t>バンゴウ</t>
    </rPh>
    <phoneticPr fontId="1"/>
  </si>
  <si>
    <t>検査名称</t>
    <rPh sb="0" eb="2">
      <t>ケンサ</t>
    </rPh>
    <rPh sb="2" eb="4">
      <t>メイショウ</t>
    </rPh>
    <phoneticPr fontId="1"/>
  </si>
  <si>
    <t>-</t>
  </si>
  <si>
    <t>社内検査</t>
  </si>
  <si>
    <t>JCI</t>
  </si>
  <si>
    <t>JG出来上り</t>
  </si>
  <si>
    <t>JG製造中</t>
  </si>
  <si>
    <t>JG委託</t>
  </si>
  <si>
    <t>JG修理</t>
  </si>
  <si>
    <t>NK</t>
  </si>
  <si>
    <t>AB</t>
  </si>
  <si>
    <t>BV</t>
  </si>
  <si>
    <t>A</t>
  </si>
  <si>
    <t>LR</t>
  </si>
  <si>
    <t>B</t>
  </si>
  <si>
    <t>CR</t>
  </si>
  <si>
    <t>C</t>
  </si>
  <si>
    <t>KR</t>
  </si>
  <si>
    <t>D</t>
  </si>
  <si>
    <t>CCS</t>
  </si>
  <si>
    <t>E</t>
  </si>
  <si>
    <t>BKI</t>
  </si>
  <si>
    <t>F</t>
  </si>
  <si>
    <t>IRS</t>
  </si>
  <si>
    <t>G</t>
  </si>
  <si>
    <t>DNV</t>
  </si>
  <si>
    <t>H</t>
  </si>
  <si>
    <t>防衛省</t>
  </si>
  <si>
    <t>I</t>
  </si>
  <si>
    <t>JG船体材料</t>
    <rPh sb="2" eb="4">
      <t>センタイ</t>
    </rPh>
    <rPh sb="4" eb="6">
      <t>ザイリョウ</t>
    </rPh>
    <phoneticPr fontId="1"/>
  </si>
  <si>
    <t>運送便コード</t>
  </si>
  <si>
    <t>佐川急便(西濃)</t>
    <rPh sb="5" eb="7">
      <t>セイノウ</t>
    </rPh>
    <phoneticPr fontId="1"/>
  </si>
  <si>
    <t>大栄便(ﾒﾀﾙ便)</t>
  </si>
  <si>
    <t>荒木運輸</t>
  </si>
  <si>
    <t>赤帽</t>
  </si>
  <si>
    <t>宇和島自動車</t>
  </si>
  <si>
    <t>ﾒﾀﾙ便九州(深田運</t>
  </si>
  <si>
    <t>谷口興業㈱</t>
  </si>
  <si>
    <t>近鉄運輸</t>
  </si>
  <si>
    <t>ケイシン</t>
  </si>
  <si>
    <t>国際空輸</t>
  </si>
  <si>
    <t>気仙沼運輸</t>
  </si>
  <si>
    <t>佐川急便</t>
  </si>
  <si>
    <t>佐川バック</t>
  </si>
  <si>
    <t>佐川航空</t>
  </si>
  <si>
    <t>山陽自動車</t>
  </si>
  <si>
    <t>三郵海陸運輸</t>
  </si>
  <si>
    <t>西濃運輸</t>
  </si>
  <si>
    <t>宅急便タイム</t>
  </si>
  <si>
    <t>大阪北陸急配</t>
  </si>
  <si>
    <t>つた運輸</t>
  </si>
  <si>
    <t>日通航空</t>
  </si>
  <si>
    <t>日本通運</t>
  </si>
  <si>
    <t>ハニービー</t>
  </si>
  <si>
    <t>新潟運輸</t>
  </si>
  <si>
    <t>林運送</t>
  </si>
  <si>
    <t>飛騨運輸</t>
  </si>
  <si>
    <t>姫路合同貨物</t>
  </si>
  <si>
    <t>福井貨物</t>
  </si>
  <si>
    <t>フクイ輸送</t>
  </si>
  <si>
    <t>福山通運</t>
  </si>
  <si>
    <t>市内便</t>
  </si>
  <si>
    <t>丸洲運輸</t>
  </si>
  <si>
    <t>メール便</t>
  </si>
  <si>
    <t>チャーター便</t>
  </si>
  <si>
    <t>郵送</t>
  </si>
  <si>
    <t>配達</t>
  </si>
  <si>
    <t>引き取り</t>
  </si>
  <si>
    <t>出張持込</t>
  </si>
  <si>
    <t>出張時納品済</t>
  </si>
  <si>
    <t>納品済</t>
  </si>
  <si>
    <t>メーカー直送</t>
  </si>
  <si>
    <t>書類と同送</t>
  </si>
  <si>
    <t>丸一運送</t>
  </si>
  <si>
    <t>丸常運送</t>
  </si>
  <si>
    <t>九州産交</t>
  </si>
  <si>
    <t>船便</t>
  </si>
  <si>
    <t>ヤマト運輸</t>
  </si>
  <si>
    <t>東亜国内航空</t>
  </si>
  <si>
    <t>日商急便</t>
  </si>
  <si>
    <t>宅急便</t>
  </si>
  <si>
    <t>東海汽船</t>
  </si>
  <si>
    <t>七島海運</t>
  </si>
  <si>
    <t>Ｚ便</t>
  </si>
  <si>
    <t>ＴＯＰ便</t>
  </si>
  <si>
    <t>本着便</t>
  </si>
  <si>
    <t>宮崎運輸</t>
  </si>
  <si>
    <t>グリンパック</t>
  </si>
  <si>
    <t>使用禁止(大阪ﾄﾗｯ</t>
  </si>
  <si>
    <t>丸協運輸㈱</t>
  </si>
  <si>
    <t>戸田運送</t>
  </si>
  <si>
    <t>ハンワ</t>
  </si>
  <si>
    <t>ニシダ即急便</t>
  </si>
  <si>
    <t>札幌急配</t>
  </si>
  <si>
    <t>松岡満</t>
  </si>
  <si>
    <t>札樽自動車</t>
  </si>
  <si>
    <t>札幌より納品</t>
  </si>
  <si>
    <t>仙営より納品</t>
  </si>
  <si>
    <t>札営より納品</t>
  </si>
  <si>
    <t>東営より納品</t>
  </si>
  <si>
    <t>壱岐運送</t>
  </si>
  <si>
    <t>大分急便</t>
  </si>
  <si>
    <t>対州海運</t>
  </si>
  <si>
    <t>野母商船</t>
  </si>
  <si>
    <t>林田運送</t>
  </si>
  <si>
    <t>オートソクイ</t>
  </si>
  <si>
    <t>九州伊藤勝</t>
  </si>
  <si>
    <t>博多海陸運送</t>
  </si>
  <si>
    <t>神宮運輸</t>
  </si>
  <si>
    <t>福山（着）</t>
  </si>
  <si>
    <t>高速バス</t>
  </si>
  <si>
    <t>ゆうパック</t>
  </si>
  <si>
    <t>壱対馬フェリ</t>
  </si>
  <si>
    <t>レターパック</t>
  </si>
  <si>
    <t>国際空輸（着</t>
  </si>
  <si>
    <t>福岡より直送</t>
  </si>
  <si>
    <t>林運輸</t>
  </si>
  <si>
    <t>淡路貨物</t>
    <rPh sb="0" eb="4">
      <t>アワジカモツ</t>
    </rPh>
    <phoneticPr fontId="1"/>
  </si>
  <si>
    <t>伊藤勝海運</t>
    <rPh sb="0" eb="3">
      <t>イトウマサル</t>
    </rPh>
    <rPh sb="3" eb="5">
      <t>カイウン</t>
    </rPh>
    <phoneticPr fontId="1"/>
  </si>
  <si>
    <t>岡山県貨物</t>
    <rPh sb="0" eb="3">
      <t>オカヤマケン</t>
    </rPh>
    <rPh sb="3" eb="5">
      <t>カモツ</t>
    </rPh>
    <phoneticPr fontId="1"/>
  </si>
  <si>
    <t>王子運送</t>
    <rPh sb="0" eb="4">
      <t>オウジウンソウ</t>
    </rPh>
    <phoneticPr fontId="1"/>
  </si>
  <si>
    <t>奥野運輸</t>
    <rPh sb="0" eb="2">
      <t>オクノ</t>
    </rPh>
    <rPh sb="2" eb="4">
      <t>ウンユ</t>
    </rPh>
    <phoneticPr fontId="1"/>
  </si>
  <si>
    <t>大蔵運輸</t>
    <rPh sb="0" eb="4">
      <t>オオクラウンユ</t>
    </rPh>
    <phoneticPr fontId="1"/>
  </si>
  <si>
    <t>上総運輸</t>
    <rPh sb="0" eb="2">
      <t>カミソウ</t>
    </rPh>
    <rPh sb="2" eb="4">
      <t>ウンユ</t>
    </rPh>
    <phoneticPr fontId="1"/>
  </si>
  <si>
    <t>関西急送</t>
    <rPh sb="0" eb="4">
      <t>カンサイキュウソウ</t>
    </rPh>
    <phoneticPr fontId="1"/>
  </si>
  <si>
    <t>カンガル宅配</t>
    <rPh sb="4" eb="6">
      <t>タクハイ</t>
    </rPh>
    <phoneticPr fontId="1"/>
  </si>
  <si>
    <t>金屋貨物運送</t>
    <rPh sb="0" eb="2">
      <t>カネヤ</t>
    </rPh>
    <rPh sb="2" eb="6">
      <t>カモツウンソウ</t>
    </rPh>
    <phoneticPr fontId="1"/>
  </si>
  <si>
    <t>協栄運輸</t>
    <rPh sb="0" eb="2">
      <t>キョウエイ</t>
    </rPh>
    <rPh sb="2" eb="4">
      <t>ウンユ</t>
    </rPh>
    <phoneticPr fontId="1"/>
  </si>
  <si>
    <t>近鉄大一</t>
    <rPh sb="2" eb="4">
      <t>ダイイチ</t>
    </rPh>
    <phoneticPr fontId="1"/>
  </si>
  <si>
    <t>佐川速配</t>
    <rPh sb="0" eb="2">
      <t>サガワ</t>
    </rPh>
    <rPh sb="2" eb="3">
      <t>ハヤ</t>
    </rPh>
    <rPh sb="3" eb="4">
      <t>ハイ</t>
    </rPh>
    <phoneticPr fontId="1"/>
  </si>
  <si>
    <t>四国運輸</t>
    <rPh sb="0" eb="4">
      <t>シコクウンユ</t>
    </rPh>
    <phoneticPr fontId="1"/>
  </si>
  <si>
    <t>四国高速</t>
    <rPh sb="0" eb="2">
      <t>シコク</t>
    </rPh>
    <rPh sb="2" eb="4">
      <t>コウソク</t>
    </rPh>
    <phoneticPr fontId="1"/>
  </si>
  <si>
    <t>新日本運輸</t>
    <rPh sb="0" eb="3">
      <t>シンニッポン</t>
    </rPh>
    <rPh sb="3" eb="5">
      <t>ウンユ</t>
    </rPh>
    <phoneticPr fontId="1"/>
  </si>
  <si>
    <t>四国西濃</t>
    <rPh sb="0" eb="2">
      <t>シコク</t>
    </rPh>
    <rPh sb="2" eb="4">
      <t>セイノウ</t>
    </rPh>
    <phoneticPr fontId="1"/>
  </si>
  <si>
    <t>三和運送</t>
    <rPh sb="0" eb="2">
      <t>サンワ</t>
    </rPh>
    <rPh sb="2" eb="4">
      <t>ウンソウ</t>
    </rPh>
    <phoneticPr fontId="1"/>
  </si>
  <si>
    <t>西武運送</t>
    <rPh sb="0" eb="2">
      <t>セイブ</t>
    </rPh>
    <rPh sb="2" eb="4">
      <t>ウンソウ</t>
    </rPh>
    <phoneticPr fontId="1"/>
  </si>
  <si>
    <t>SPAT９時</t>
    <rPh sb="5" eb="6">
      <t>ジ</t>
    </rPh>
    <phoneticPr fontId="1"/>
  </si>
  <si>
    <t>田辺運送</t>
    <rPh sb="0" eb="2">
      <t>タナベ</t>
    </rPh>
    <rPh sb="2" eb="4">
      <t>ウンソウ</t>
    </rPh>
    <phoneticPr fontId="1"/>
  </si>
  <si>
    <t>トナミ運輸</t>
    <rPh sb="3" eb="5">
      <t>ウンユ</t>
    </rPh>
    <phoneticPr fontId="1"/>
  </si>
  <si>
    <t>大栄運輸</t>
    <rPh sb="2" eb="4">
      <t>ウンユ</t>
    </rPh>
    <phoneticPr fontId="1"/>
  </si>
  <si>
    <t>中越運送</t>
    <rPh sb="0" eb="2">
      <t>チュウエツ</t>
    </rPh>
    <rPh sb="2" eb="4">
      <t>ウンソウ</t>
    </rPh>
    <phoneticPr fontId="1"/>
  </si>
  <si>
    <t>西鉄運輸</t>
    <rPh sb="0" eb="2">
      <t>ニシテツ</t>
    </rPh>
    <rPh sb="2" eb="4">
      <t>ウンユ</t>
    </rPh>
    <phoneticPr fontId="1"/>
  </si>
  <si>
    <t>日の丸西濃</t>
    <rPh sb="0" eb="1">
      <t>ヒ</t>
    </rPh>
    <rPh sb="2" eb="3">
      <t>マル</t>
    </rPh>
    <rPh sb="3" eb="5">
      <t>セイノウ</t>
    </rPh>
    <phoneticPr fontId="1"/>
  </si>
  <si>
    <t>泉州急送</t>
    <rPh sb="0" eb="2">
      <t>センシュウ</t>
    </rPh>
    <rPh sb="2" eb="4">
      <t>キュウソウ</t>
    </rPh>
    <phoneticPr fontId="1"/>
  </si>
  <si>
    <t>ペリカン便</t>
    <rPh sb="4" eb="5">
      <t>ビン</t>
    </rPh>
    <phoneticPr fontId="1"/>
  </si>
  <si>
    <t>宝飯運送</t>
    <rPh sb="0" eb="2">
      <t>タカラメシ</t>
    </rPh>
    <rPh sb="2" eb="4">
      <t>ウンソウ</t>
    </rPh>
    <phoneticPr fontId="1"/>
  </si>
  <si>
    <t>松江運送</t>
    <rPh sb="0" eb="2">
      <t>マツエ</t>
    </rPh>
    <rPh sb="2" eb="4">
      <t>ウンソウ</t>
    </rPh>
    <phoneticPr fontId="1"/>
  </si>
  <si>
    <t>丸共協同</t>
    <rPh sb="0" eb="2">
      <t>マルキョウ</t>
    </rPh>
    <rPh sb="2" eb="4">
      <t>キョウドウ</t>
    </rPh>
    <phoneticPr fontId="1"/>
  </si>
  <si>
    <t>三重定期</t>
    <rPh sb="0" eb="2">
      <t>ミエ</t>
    </rPh>
    <rPh sb="2" eb="4">
      <t>テイキ</t>
    </rPh>
    <phoneticPr fontId="1"/>
  </si>
  <si>
    <t>三八五貨物</t>
    <rPh sb="0" eb="1">
      <t>サン</t>
    </rPh>
    <rPh sb="1" eb="2">
      <t>ハチ</t>
    </rPh>
    <rPh sb="2" eb="3">
      <t>ゴ</t>
    </rPh>
    <rPh sb="3" eb="5">
      <t>カモツ</t>
    </rPh>
    <phoneticPr fontId="1"/>
  </si>
  <si>
    <t>名鉄運輸</t>
    <rPh sb="0" eb="2">
      <t>メイテツ</t>
    </rPh>
    <rPh sb="2" eb="4">
      <t>ウンユ</t>
    </rPh>
    <phoneticPr fontId="1"/>
  </si>
  <si>
    <t>山九運輸</t>
    <rPh sb="0" eb="2">
      <t>サンキュウ</t>
    </rPh>
    <rPh sb="2" eb="4">
      <t>ウンユ</t>
    </rPh>
    <phoneticPr fontId="1"/>
  </si>
  <si>
    <t>気仙沼運輸</t>
    <phoneticPr fontId="1"/>
  </si>
  <si>
    <t>第一貨物</t>
    <rPh sb="0" eb="4">
      <t>ダイイチカモツ</t>
    </rPh>
    <phoneticPr fontId="1"/>
  </si>
  <si>
    <t>西武航空</t>
    <rPh sb="0" eb="2">
      <t>セイブ</t>
    </rPh>
    <rPh sb="2" eb="4">
      <t>コウクウ</t>
    </rPh>
    <phoneticPr fontId="1"/>
  </si>
  <si>
    <t>産輿運輸</t>
    <rPh sb="0" eb="1">
      <t>ウ</t>
    </rPh>
    <rPh sb="1" eb="2">
      <t>コシ</t>
    </rPh>
    <rPh sb="2" eb="4">
      <t>ウンユ</t>
    </rPh>
    <phoneticPr fontId="1"/>
  </si>
  <si>
    <t>愛知陸運</t>
    <rPh sb="0" eb="2">
      <t>アイチ</t>
    </rPh>
    <rPh sb="2" eb="4">
      <t>リクウン</t>
    </rPh>
    <phoneticPr fontId="1"/>
  </si>
  <si>
    <t>いわき貨物</t>
    <rPh sb="3" eb="5">
      <t>カモツ</t>
    </rPh>
    <phoneticPr fontId="1"/>
  </si>
  <si>
    <t>卯の日丸運送</t>
    <rPh sb="0" eb="1">
      <t>ウ</t>
    </rPh>
    <rPh sb="2" eb="3">
      <t>ヒ</t>
    </rPh>
    <rPh sb="3" eb="4">
      <t>マル</t>
    </rPh>
    <rPh sb="4" eb="6">
      <t>ウンソウ</t>
    </rPh>
    <phoneticPr fontId="1"/>
  </si>
  <si>
    <t>阪急国内空輸</t>
    <rPh sb="0" eb="2">
      <t>ハンキュウ</t>
    </rPh>
    <rPh sb="2" eb="4">
      <t>コクナイ</t>
    </rPh>
    <rPh sb="4" eb="6">
      <t>クウユ</t>
    </rPh>
    <phoneticPr fontId="1"/>
  </si>
  <si>
    <t>茨木県貨物</t>
    <rPh sb="0" eb="3">
      <t>イバラギケン</t>
    </rPh>
    <rPh sb="3" eb="5">
      <t>カモツ</t>
    </rPh>
    <phoneticPr fontId="1"/>
  </si>
  <si>
    <t>フェデックス</t>
    <phoneticPr fontId="1"/>
  </si>
  <si>
    <t>オート急便</t>
    <rPh sb="3" eb="5">
      <t>キュウビン</t>
    </rPh>
    <phoneticPr fontId="1"/>
  </si>
  <si>
    <t>丸点通運</t>
    <rPh sb="0" eb="1">
      <t>マル</t>
    </rPh>
    <rPh sb="1" eb="2">
      <t>テン</t>
    </rPh>
    <rPh sb="2" eb="4">
      <t>ツウウン</t>
    </rPh>
    <phoneticPr fontId="1"/>
  </si>
  <si>
    <t>水岩運送</t>
    <rPh sb="0" eb="4">
      <t>ミズイワウンソウ</t>
    </rPh>
    <phoneticPr fontId="1"/>
  </si>
  <si>
    <t>丸州運輸</t>
    <rPh sb="0" eb="1">
      <t>マル</t>
    </rPh>
    <rPh sb="1" eb="2">
      <t>シュウ</t>
    </rPh>
    <rPh sb="2" eb="4">
      <t>ウンユ</t>
    </rPh>
    <phoneticPr fontId="1"/>
  </si>
  <si>
    <t>サード照会</t>
    <rPh sb="3" eb="5">
      <t>ショウカイ</t>
    </rPh>
    <phoneticPr fontId="1"/>
  </si>
  <si>
    <t>カルムコーポ</t>
    <phoneticPr fontId="1"/>
  </si>
  <si>
    <t>原価割れ注意</t>
    <rPh sb="0" eb="3">
      <t>ゲンカワ</t>
    </rPh>
    <rPh sb="4" eb="6">
      <t>チュウイ</t>
    </rPh>
    <phoneticPr fontId="1"/>
  </si>
  <si>
    <t>SPACE</t>
    <phoneticPr fontId="1"/>
  </si>
  <si>
    <t>製造原価</t>
    <rPh sb="0" eb="2">
      <t>セイゾウ</t>
    </rPh>
    <rPh sb="2" eb="4">
      <t>ゲンカ</t>
    </rPh>
    <phoneticPr fontId="1"/>
  </si>
  <si>
    <t>製造原価=の表示</t>
    <rPh sb="0" eb="2">
      <t>セイゾウ</t>
    </rPh>
    <rPh sb="2" eb="4">
      <t>ゲンカ</t>
    </rPh>
    <rPh sb="6" eb="8">
      <t>ヒョウジ</t>
    </rPh>
    <phoneticPr fontId="1"/>
  </si>
  <si>
    <t>製造原価合計</t>
    <rPh sb="0" eb="4">
      <t>セイゾウゲンカ</t>
    </rPh>
    <rPh sb="4" eb="6">
      <t>ゴウケイ</t>
    </rPh>
    <phoneticPr fontId="1"/>
  </si>
  <si>
    <t>OTHER</t>
    <phoneticPr fontId="1"/>
  </si>
  <si>
    <t>書込箇所名称(STEP5で使用</t>
    <rPh sb="0" eb="2">
      <t>カキコ</t>
    </rPh>
    <rPh sb="2" eb="4">
      <t>カショ</t>
    </rPh>
    <rPh sb="4" eb="6">
      <t>メイショウ</t>
    </rPh>
    <rPh sb="13" eb="15">
      <t>シヨウ</t>
    </rPh>
    <phoneticPr fontId="1"/>
  </si>
  <si>
    <t>取得ファイル日時</t>
    <rPh sb="0" eb="2">
      <t>シュトク</t>
    </rPh>
    <rPh sb="6" eb="8">
      <t>ニチジ</t>
    </rPh>
    <phoneticPr fontId="1"/>
  </si>
  <si>
    <t>V12</t>
    <phoneticPr fontId="1"/>
  </si>
  <si>
    <t>分納数表示</t>
    <rPh sb="0" eb="3">
      <t>ブンノウスウ</t>
    </rPh>
    <rPh sb="3" eb="5">
      <t>ヒョウジ</t>
    </rPh>
    <phoneticPr fontId="1"/>
  </si>
  <si>
    <t>品目番号</t>
    <phoneticPr fontId="1"/>
  </si>
  <si>
    <t>AH1</t>
    <phoneticPr fontId="1"/>
  </si>
  <si>
    <t>出荷登録日(SYSDATE)</t>
    <phoneticPr fontId="1"/>
  </si>
  <si>
    <t>経由先１_仕切率</t>
    <phoneticPr fontId="1"/>
  </si>
  <si>
    <t>請求先_仕切率</t>
    <phoneticPr fontId="1"/>
  </si>
  <si>
    <t>ヤンマーCD</t>
    <phoneticPr fontId="1"/>
  </si>
  <si>
    <t>ヤンマー名称</t>
    <rPh sb="4" eb="6">
      <t>メイショウ</t>
    </rPh>
    <phoneticPr fontId="1"/>
  </si>
  <si>
    <t>ＹＭＳ㈱北海道営業部</t>
  </si>
  <si>
    <t>ＹＭＳ㈱東北営業部</t>
  </si>
  <si>
    <t>ＹＭＳ㈱東日本営業部</t>
  </si>
  <si>
    <t>ＹＭＳ㈱西日本北陸分</t>
  </si>
  <si>
    <t>ＹＭＳ㈱西日本中部分</t>
  </si>
  <si>
    <t>ＹＭＳ㈱西日本近畿分</t>
  </si>
  <si>
    <t>ＹＭＳ㈱中四国山陰分</t>
  </si>
  <si>
    <t>ＹＭＳ㈱中四国中国分</t>
  </si>
  <si>
    <t>ＹＭＳ㈱中四国四国分</t>
  </si>
  <si>
    <t>ＹＭＳ㈱九州（福岡分)</t>
  </si>
  <si>
    <t>ＹＭＳ㈱九州（大分)</t>
  </si>
  <si>
    <t>ＹＭＳ㈱九州（長崎分)</t>
  </si>
  <si>
    <t>ＹＭＳ㈱九州（宮崎分)</t>
  </si>
  <si>
    <t>ＹＭＳ㈱九州（鹿児島)</t>
  </si>
  <si>
    <t>ＹＭＳ㈱九州（沖縄)</t>
    <rPh sb="7" eb="9">
      <t>オキナワ</t>
    </rPh>
    <phoneticPr fontId="1"/>
  </si>
  <si>
    <t>参照作成注番</t>
    <rPh sb="0" eb="2">
      <t>サンショウ</t>
    </rPh>
    <rPh sb="2" eb="4">
      <t>サクセイ</t>
    </rPh>
    <rPh sb="4" eb="6">
      <t>チュウバン</t>
    </rPh>
    <phoneticPr fontId="1"/>
  </si>
  <si>
    <t>船舶</t>
    <rPh sb="0" eb="2">
      <t>センパク</t>
    </rPh>
    <phoneticPr fontId="1"/>
  </si>
  <si>
    <t>購買</t>
    <rPh sb="0" eb="2">
      <t>コウバイ</t>
    </rPh>
    <phoneticPr fontId="1"/>
  </si>
  <si>
    <t>担当</t>
    <rPh sb="0" eb="2">
      <t>タントウ</t>
    </rPh>
    <phoneticPr fontId="1"/>
  </si>
  <si>
    <t>管理</t>
    <rPh sb="0" eb="2">
      <t>カンリ</t>
    </rPh>
    <phoneticPr fontId="1"/>
  </si>
  <si>
    <t>営業所配布</t>
    <rPh sb="0" eb="3">
      <t>エイギョウショ</t>
    </rPh>
    <rPh sb="3" eb="5">
      <t>ハイフ</t>
    </rPh>
    <phoneticPr fontId="1"/>
  </si>
  <si>
    <t>当日</t>
    <rPh sb="0" eb="2">
      <t>トウジツ</t>
    </rPh>
    <phoneticPr fontId="1"/>
  </si>
  <si>
    <t>ヤンマー</t>
    <phoneticPr fontId="1"/>
  </si>
  <si>
    <t>外注</t>
    <rPh sb="0" eb="2">
      <t>ガイチュウ</t>
    </rPh>
    <phoneticPr fontId="1"/>
  </si>
  <si>
    <t>製造</t>
    <rPh sb="0" eb="2">
      <t>セイゾウ</t>
    </rPh>
    <phoneticPr fontId="1"/>
  </si>
  <si>
    <t>原価の有無</t>
    <rPh sb="0" eb="2">
      <t>ゲンカ</t>
    </rPh>
    <rPh sb="3" eb="5">
      <t>ウム</t>
    </rPh>
    <phoneticPr fontId="1"/>
  </si>
  <si>
    <t>標準</t>
    <rPh sb="0" eb="2">
      <t>ヒョウジュン</t>
    </rPh>
    <phoneticPr fontId="1"/>
  </si>
  <si>
    <t>後報</t>
    <rPh sb="0" eb="1">
      <t>ウシ</t>
    </rPh>
    <rPh sb="1" eb="2">
      <t>ホウ</t>
    </rPh>
    <phoneticPr fontId="1"/>
  </si>
  <si>
    <t>東京</t>
    <rPh sb="0" eb="2">
      <t>トウキョウ</t>
    </rPh>
    <phoneticPr fontId="1"/>
  </si>
  <si>
    <t>札幌</t>
    <rPh sb="0" eb="2">
      <t>サッポロ</t>
    </rPh>
    <phoneticPr fontId="1"/>
  </si>
  <si>
    <t>仙台</t>
    <rPh sb="0" eb="2">
      <t>センダイ</t>
    </rPh>
    <phoneticPr fontId="1"/>
  </si>
  <si>
    <t>福岡</t>
    <rPh sb="0" eb="2">
      <t>フクオカ</t>
    </rPh>
    <phoneticPr fontId="1"/>
  </si>
  <si>
    <t>一式親番表示</t>
    <rPh sb="0" eb="2">
      <t>イッシキ</t>
    </rPh>
    <rPh sb="2" eb="4">
      <t>オヤバン</t>
    </rPh>
    <rPh sb="4" eb="6">
      <t>ヒョウジ</t>
    </rPh>
    <phoneticPr fontId="1"/>
  </si>
  <si>
    <t>AL5</t>
    <phoneticPr fontId="1"/>
  </si>
  <si>
    <t>AV5</t>
    <phoneticPr fontId="1"/>
  </si>
  <si>
    <t>計上先_手配書番号</t>
    <phoneticPr fontId="1"/>
  </si>
  <si>
    <t>所属部署コード</t>
    <phoneticPr fontId="1"/>
  </si>
  <si>
    <t>船舶機械部</t>
    <rPh sb="0" eb="2">
      <t>センパク</t>
    </rPh>
    <rPh sb="2" eb="4">
      <t>キカイ</t>
    </rPh>
    <rPh sb="4" eb="5">
      <t>ブ</t>
    </rPh>
    <phoneticPr fontId="1"/>
  </si>
  <si>
    <t>大阪</t>
    <rPh sb="0" eb="2">
      <t>オオサカ</t>
    </rPh>
    <phoneticPr fontId="1"/>
  </si>
  <si>
    <t>特販</t>
    <rPh sb="0" eb="2">
      <t>トクハン</t>
    </rPh>
    <phoneticPr fontId="1"/>
  </si>
  <si>
    <t>標準後報</t>
    <rPh sb="0" eb="2">
      <t>ヒョウジュン</t>
    </rPh>
    <rPh sb="2" eb="3">
      <t>ウシ</t>
    </rPh>
    <rPh sb="3" eb="4">
      <t>ホウ</t>
    </rPh>
    <phoneticPr fontId="1"/>
  </si>
  <si>
    <t>AR2</t>
    <phoneticPr fontId="1"/>
  </si>
  <si>
    <t>原価フラグ名称</t>
    <rPh sb="0" eb="2">
      <t>ゲンカ</t>
    </rPh>
    <rPh sb="5" eb="7">
      <t>メイショウ</t>
    </rPh>
    <phoneticPr fontId="1"/>
  </si>
  <si>
    <t>原価あり</t>
    <rPh sb="0" eb="2">
      <t>ゲンカ</t>
    </rPh>
    <phoneticPr fontId="1"/>
  </si>
  <si>
    <t>原価なし</t>
    <rPh sb="0" eb="2">
      <t>ゲンカ</t>
    </rPh>
    <phoneticPr fontId="1"/>
  </si>
  <si>
    <t>原価F番号</t>
    <rPh sb="0" eb="2">
      <t>ゲンカ</t>
    </rPh>
    <rPh sb="3" eb="5">
      <t>バンゴウ</t>
    </rPh>
    <phoneticPr fontId="1"/>
  </si>
  <si>
    <t>営業所</t>
    <rPh sb="0" eb="3">
      <t>エイギョウショ</t>
    </rPh>
    <phoneticPr fontId="1"/>
  </si>
  <si>
    <t>前当日出荷分</t>
    <rPh sb="0" eb="1">
      <t>マエ</t>
    </rPh>
    <rPh sb="1" eb="3">
      <t>トウジツ</t>
    </rPh>
    <rPh sb="3" eb="5">
      <t>シュッカ</t>
    </rPh>
    <rPh sb="5" eb="6">
      <t>ブン</t>
    </rPh>
    <phoneticPr fontId="1"/>
  </si>
  <si>
    <t>前日出荷分</t>
    <rPh sb="0" eb="2">
      <t>ゼンジツ</t>
    </rPh>
    <rPh sb="2" eb="4">
      <t>シュッカ</t>
    </rPh>
    <rPh sb="4" eb="5">
      <t>ブン</t>
    </rPh>
    <phoneticPr fontId="1"/>
  </si>
  <si>
    <t>当日出荷分</t>
    <rPh sb="0" eb="2">
      <t>トウジツ</t>
    </rPh>
    <rPh sb="2" eb="4">
      <t>シュッカ</t>
    </rPh>
    <rPh sb="4" eb="5">
      <t>ブン</t>
    </rPh>
    <phoneticPr fontId="1"/>
  </si>
  <si>
    <t>前当日+前日</t>
    <rPh sb="0" eb="1">
      <t>マエ</t>
    </rPh>
    <rPh sb="1" eb="3">
      <t>トウジツ</t>
    </rPh>
    <rPh sb="4" eb="6">
      <t>ゼンジツ</t>
    </rPh>
    <phoneticPr fontId="1"/>
  </si>
  <si>
    <t>前日＋当日</t>
    <rPh sb="0" eb="2">
      <t>ゼンジツ</t>
    </rPh>
    <rPh sb="3" eb="5">
      <t>トウジツ</t>
    </rPh>
    <phoneticPr fontId="1"/>
  </si>
  <si>
    <t>高速艇</t>
    <rPh sb="0" eb="2">
      <t>コウソク</t>
    </rPh>
    <rPh sb="2" eb="3">
      <t>テイ</t>
    </rPh>
    <phoneticPr fontId="1"/>
  </si>
  <si>
    <t>合計</t>
    <rPh sb="0" eb="2">
      <t>ゴウケイ</t>
    </rPh>
    <phoneticPr fontId="1"/>
  </si>
  <si>
    <t>不使用</t>
    <rPh sb="0" eb="3">
      <t>フシヨウ</t>
    </rPh>
    <phoneticPr fontId="1"/>
  </si>
  <si>
    <t>注番指定</t>
    <rPh sb="0" eb="4">
      <t>チュウバンシテイ</t>
    </rPh>
    <phoneticPr fontId="1"/>
  </si>
  <si>
    <t>寸法記号</t>
    <rPh sb="0" eb="4">
      <t>スンポウキゴウ</t>
    </rPh>
    <phoneticPr fontId="1"/>
  </si>
  <si>
    <t>軸径*長さ*厚み</t>
    <rPh sb="0" eb="2">
      <t>ジクケイ</t>
    </rPh>
    <rPh sb="3" eb="4">
      <t>ナガ</t>
    </rPh>
    <rPh sb="6" eb="7">
      <t>アツ</t>
    </rPh>
    <phoneticPr fontId="1"/>
  </si>
  <si>
    <t>B1903</t>
    <phoneticPr fontId="1"/>
  </si>
  <si>
    <t>OneNote (Desktop)</t>
  </si>
  <si>
    <t>11000240</t>
    <phoneticPr fontId="1"/>
  </si>
  <si>
    <t>26000246</t>
    <phoneticPr fontId="1"/>
  </si>
  <si>
    <t>34000247</t>
    <phoneticPr fontId="1"/>
  </si>
  <si>
    <t>43000241</t>
    <phoneticPr fontId="1"/>
  </si>
  <si>
    <t>51000242</t>
    <phoneticPr fontId="1"/>
  </si>
  <si>
    <t>59000241</t>
    <phoneticPr fontId="1"/>
  </si>
  <si>
    <t>65000245</t>
    <phoneticPr fontId="1"/>
  </si>
  <si>
    <t>71000249</t>
    <phoneticPr fontId="1"/>
  </si>
  <si>
    <t>77013520</t>
    <phoneticPr fontId="1"/>
  </si>
  <si>
    <t>77013539</t>
    <phoneticPr fontId="1"/>
  </si>
  <si>
    <t>77013547</t>
    <phoneticPr fontId="1"/>
  </si>
  <si>
    <t>77013555</t>
    <phoneticPr fontId="1"/>
  </si>
  <si>
    <t>77013571</t>
    <phoneticPr fontId="1"/>
  </si>
  <si>
    <t>77013563</t>
    <phoneticPr fontId="1"/>
  </si>
  <si>
    <t>明細納期[納期と相違の場合のみ]</t>
    <rPh sb="0" eb="2">
      <t>メイサイ</t>
    </rPh>
    <rPh sb="2" eb="4">
      <t>ノウキ</t>
    </rPh>
    <rPh sb="5" eb="7">
      <t>ノウキ</t>
    </rPh>
    <rPh sb="8" eb="10">
      <t>ソウイ</t>
    </rPh>
    <rPh sb="11" eb="13">
      <t>バアイ</t>
    </rPh>
    <phoneticPr fontId="1"/>
  </si>
  <si>
    <t>ページ数表示[システムに依存]</t>
    <rPh sb="3" eb="4">
      <t>スウ</t>
    </rPh>
    <rPh sb="4" eb="6">
      <t>ヒョウジ</t>
    </rPh>
    <rPh sb="12" eb="14">
      <t>イゾン</t>
    </rPh>
    <phoneticPr fontId="1"/>
  </si>
  <si>
    <t>出荷明細番号=[</t>
    <rPh sb="0" eb="2">
      <t>シュッカ</t>
    </rPh>
    <rPh sb="2" eb="4">
      <t>メイサイ</t>
    </rPh>
    <rPh sb="4" eb="6">
      <t>バンゴウ</t>
    </rPh>
    <phoneticPr fontId="1"/>
  </si>
  <si>
    <t>BJ14</t>
    <phoneticPr fontId="1"/>
  </si>
  <si>
    <t>ヤンマー経由仕切り注意表示</t>
    <rPh sb="4" eb="6">
      <t>ケイユ</t>
    </rPh>
    <rPh sb="6" eb="8">
      <t>シキ</t>
    </rPh>
    <rPh sb="9" eb="11">
      <t>チュウイ</t>
    </rPh>
    <rPh sb="11" eb="13">
      <t>ヒョウジ</t>
    </rPh>
    <phoneticPr fontId="1"/>
  </si>
  <si>
    <t>原価有無表示 [ID14中止,コード内に]</t>
    <rPh sb="0" eb="2">
      <t>ゲンカ</t>
    </rPh>
    <rPh sb="2" eb="4">
      <t>ウム</t>
    </rPh>
    <rPh sb="4" eb="6">
      <t>ヒョウジ</t>
    </rPh>
    <rPh sb="12" eb="14">
      <t>チュウシ</t>
    </rPh>
    <rPh sb="18" eb="19">
      <t>ナイ</t>
    </rPh>
    <phoneticPr fontId="1"/>
  </si>
  <si>
    <t>GENKAUMU</t>
    <phoneticPr fontId="1"/>
  </si>
  <si>
    <t>非出力部署1</t>
    <rPh sb="0" eb="3">
      <t>ヒシュツリョク</t>
    </rPh>
    <rPh sb="3" eb="5">
      <t>ブショ</t>
    </rPh>
    <phoneticPr fontId="1"/>
  </si>
  <si>
    <t>非出力部署2</t>
    <rPh sb="0" eb="1">
      <t>ヒ</t>
    </rPh>
    <rPh sb="1" eb="3">
      <t>シュツリョク</t>
    </rPh>
    <rPh sb="3" eb="5">
      <t>ブショ</t>
    </rPh>
    <phoneticPr fontId="1"/>
  </si>
  <si>
    <t>担当者フラグ名称</t>
    <rPh sb="0" eb="3">
      <t>タントウシャ</t>
    </rPh>
    <rPh sb="6" eb="8">
      <t>メイショウ</t>
    </rPh>
    <phoneticPr fontId="1"/>
  </si>
  <si>
    <t>担当者F番号</t>
    <rPh sb="0" eb="3">
      <t>タントウシャ</t>
    </rPh>
    <rPh sb="4" eb="6">
      <t>バンゴウ</t>
    </rPh>
    <phoneticPr fontId="1"/>
  </si>
  <si>
    <t>在庫フラグ名称</t>
    <rPh sb="0" eb="2">
      <t>ザイコ</t>
    </rPh>
    <rPh sb="5" eb="7">
      <t>メイショウ</t>
    </rPh>
    <phoneticPr fontId="1"/>
  </si>
  <si>
    <t>在庫F番号</t>
    <rPh sb="0" eb="2">
      <t>ザイコ</t>
    </rPh>
    <rPh sb="3" eb="5">
      <t>バンゴウ</t>
    </rPh>
    <phoneticPr fontId="1"/>
  </si>
  <si>
    <t>在庫抜き</t>
    <rPh sb="0" eb="2">
      <t>ザイコ</t>
    </rPh>
    <rPh sb="2" eb="3">
      <t>ヌ</t>
    </rPh>
    <phoneticPr fontId="1"/>
  </si>
  <si>
    <t>在庫</t>
    <rPh sb="0" eb="2">
      <t>ザイコ</t>
    </rPh>
    <phoneticPr fontId="1"/>
  </si>
  <si>
    <t>在庫の有無</t>
    <rPh sb="0" eb="2">
      <t>ザイコ</t>
    </rPh>
    <rPh sb="3" eb="5">
      <t>ウム</t>
    </rPh>
    <phoneticPr fontId="1"/>
  </si>
  <si>
    <t>自分コードのみ</t>
    <rPh sb="0" eb="2">
      <t>ジブン</t>
    </rPh>
    <phoneticPr fontId="1"/>
  </si>
  <si>
    <t>指定担当者</t>
    <rPh sb="0" eb="2">
      <t>シテイ</t>
    </rPh>
    <rPh sb="2" eb="5">
      <t>タントウシャ</t>
    </rPh>
    <phoneticPr fontId="1"/>
  </si>
  <si>
    <t>売価原価合計表示(ID183中止、いらない</t>
    <rPh sb="14" eb="16">
      <t>チュウシ</t>
    </rPh>
    <phoneticPr fontId="1"/>
  </si>
  <si>
    <t>営原=</t>
    <rPh sb="0" eb="1">
      <t>エイ</t>
    </rPh>
    <rPh sb="1" eb="2">
      <t>ハラ</t>
    </rPh>
    <phoneticPr fontId="1"/>
  </si>
  <si>
    <t>管</t>
    <rPh sb="0" eb="1">
      <t>カン</t>
    </rPh>
    <phoneticPr fontId="1"/>
  </si>
  <si>
    <t>担</t>
    <rPh sb="0" eb="1">
      <t>タン</t>
    </rPh>
    <phoneticPr fontId="1"/>
  </si>
  <si>
    <t>本</t>
    <rPh sb="0" eb="1">
      <t>ホン</t>
    </rPh>
    <phoneticPr fontId="1"/>
  </si>
  <si>
    <t>営</t>
    <rPh sb="0" eb="1">
      <t>エイ</t>
    </rPh>
    <phoneticPr fontId="1"/>
  </si>
  <si>
    <t>非出力部署3</t>
    <rPh sb="0" eb="1">
      <t>ヒ</t>
    </rPh>
    <rPh sb="1" eb="3">
      <t>シュツリョク</t>
    </rPh>
    <rPh sb="3" eb="5">
      <t>ブショ</t>
    </rPh>
    <phoneticPr fontId="1"/>
  </si>
  <si>
    <t>標準/後報フラグ名称</t>
    <rPh sb="0" eb="2">
      <t>ヒョウジュン</t>
    </rPh>
    <rPh sb="3" eb="4">
      <t>ウシ</t>
    </rPh>
    <rPh sb="4" eb="5">
      <t>ホウ</t>
    </rPh>
    <rPh sb="8" eb="10">
      <t>メイショウ</t>
    </rPh>
    <phoneticPr fontId="1"/>
  </si>
  <si>
    <t>標準/後報F番号</t>
    <rPh sb="0" eb="2">
      <t>ヒョウジュン</t>
    </rPh>
    <rPh sb="3" eb="4">
      <t>ウシ</t>
    </rPh>
    <rPh sb="4" eb="5">
      <t>ホウ</t>
    </rPh>
    <rPh sb="6" eb="8">
      <t>バンゴウ</t>
    </rPh>
    <phoneticPr fontId="1"/>
  </si>
  <si>
    <t>標準のみ</t>
    <rPh sb="0" eb="2">
      <t>ヒョウジュン</t>
    </rPh>
    <phoneticPr fontId="1"/>
  </si>
  <si>
    <t>後報のみ</t>
    <rPh sb="0" eb="1">
      <t>ウシ</t>
    </rPh>
    <rPh sb="1" eb="2">
      <t>ホウ</t>
    </rPh>
    <phoneticPr fontId="1"/>
  </si>
  <si>
    <t>標準/後報</t>
    <rPh sb="0" eb="2">
      <t>ヒョウジュン</t>
    </rPh>
    <rPh sb="3" eb="4">
      <t>ウシ</t>
    </rPh>
    <rPh sb="4" eb="5">
      <t>ホウ</t>
    </rPh>
    <phoneticPr fontId="1"/>
  </si>
  <si>
    <t>標</t>
    <rPh sb="0" eb="1">
      <t>ヒョウ</t>
    </rPh>
    <phoneticPr fontId="1"/>
  </si>
  <si>
    <t>当</t>
    <rPh sb="0" eb="1">
      <t>トウ</t>
    </rPh>
    <phoneticPr fontId="1"/>
  </si>
  <si>
    <t>共通出力先</t>
    <rPh sb="0" eb="2">
      <t>キョウツウ</t>
    </rPh>
    <rPh sb="2" eb="4">
      <t>シュツリョク</t>
    </rPh>
    <rPh sb="4" eb="5">
      <t>サキ</t>
    </rPh>
    <phoneticPr fontId="1"/>
  </si>
  <si>
    <t>管理ボタン実行日</t>
    <rPh sb="0" eb="2">
      <t>カンリ</t>
    </rPh>
    <rPh sb="5" eb="7">
      <t>ジッコウ</t>
    </rPh>
    <rPh sb="7" eb="8">
      <t>ヒ</t>
    </rPh>
    <phoneticPr fontId="1"/>
  </si>
  <si>
    <t>当日ボタン実行日</t>
    <rPh sb="0" eb="2">
      <t>トウジツ</t>
    </rPh>
    <rPh sb="5" eb="7">
      <t>ジッコウ</t>
    </rPh>
    <rPh sb="7" eb="8">
      <t>ヒ</t>
    </rPh>
    <phoneticPr fontId="1"/>
  </si>
  <si>
    <t>最終出力出荷日時</t>
    <rPh sb="0" eb="2">
      <t>サイシュウ</t>
    </rPh>
    <rPh sb="2" eb="4">
      <t>シュツリョク</t>
    </rPh>
    <rPh sb="4" eb="6">
      <t>シュッカ</t>
    </rPh>
    <rPh sb="6" eb="8">
      <t>ニチジ</t>
    </rPh>
    <phoneticPr fontId="1"/>
  </si>
  <si>
    <t>締日</t>
    <rPh sb="0" eb="1">
      <t>シ</t>
    </rPh>
    <rPh sb="1" eb="2">
      <t>ビ</t>
    </rPh>
    <phoneticPr fontId="1"/>
  </si>
  <si>
    <t>締日フラグ名称</t>
    <rPh sb="0" eb="2">
      <t>シメビ</t>
    </rPh>
    <rPh sb="5" eb="7">
      <t>メイショウ</t>
    </rPh>
    <phoneticPr fontId="1"/>
  </si>
  <si>
    <t>締日F番号</t>
    <rPh sb="0" eb="2">
      <t>シメビ</t>
    </rPh>
    <rPh sb="3" eb="5">
      <t>バンゴウ</t>
    </rPh>
    <phoneticPr fontId="1"/>
  </si>
  <si>
    <t>２０日締</t>
    <rPh sb="2" eb="3">
      <t>ニチ</t>
    </rPh>
    <rPh sb="3" eb="4">
      <t>シ</t>
    </rPh>
    <phoneticPr fontId="1"/>
  </si>
  <si>
    <t>２５日締</t>
    <rPh sb="2" eb="3">
      <t>ニチ</t>
    </rPh>
    <rPh sb="3" eb="4">
      <t>シ</t>
    </rPh>
    <phoneticPr fontId="1"/>
  </si>
  <si>
    <t>末日締</t>
    <rPh sb="0" eb="3">
      <t>マツジツシ</t>
    </rPh>
    <phoneticPr fontId="1"/>
  </si>
  <si>
    <t>１５日締</t>
    <rPh sb="2" eb="3">
      <t>ニチ</t>
    </rPh>
    <rPh sb="3" eb="4">
      <t>シ</t>
    </rPh>
    <phoneticPr fontId="1"/>
  </si>
  <si>
    <t>RESET</t>
    <phoneticPr fontId="1"/>
  </si>
  <si>
    <t>指定なし</t>
    <phoneticPr fontId="1"/>
  </si>
  <si>
    <t>得意先番号</t>
    <rPh sb="0" eb="3">
      <t>トクイサキ</t>
    </rPh>
    <rPh sb="3" eb="5">
      <t>バンゴウ</t>
    </rPh>
    <phoneticPr fontId="1"/>
  </si>
  <si>
    <t>担当手配有無</t>
    <rPh sb="0" eb="2">
      <t>タントウ</t>
    </rPh>
    <rPh sb="2" eb="4">
      <t>テハイ</t>
    </rPh>
    <rPh sb="4" eb="6">
      <t>ウム</t>
    </rPh>
    <phoneticPr fontId="1"/>
  </si>
  <si>
    <t>担当手配抜き</t>
    <rPh sb="0" eb="2">
      <t>タントウ</t>
    </rPh>
    <rPh sb="2" eb="4">
      <t>テハイ</t>
    </rPh>
    <rPh sb="4" eb="5">
      <t>ヌ</t>
    </rPh>
    <phoneticPr fontId="1"/>
  </si>
  <si>
    <t>複数注番指定</t>
    <rPh sb="0" eb="2">
      <t>フクスウ</t>
    </rPh>
    <rPh sb="2" eb="6">
      <t>チュウバンシテイ</t>
    </rPh>
    <phoneticPr fontId="1"/>
  </si>
  <si>
    <t>本社配布</t>
    <rPh sb="0" eb="2">
      <t>ホンシャ</t>
    </rPh>
    <rPh sb="2" eb="4">
      <t>ハイフ</t>
    </rPh>
    <phoneticPr fontId="1"/>
  </si>
  <si>
    <t>実行カウンター</t>
    <rPh sb="0" eb="2">
      <t>ジッコウ</t>
    </rPh>
    <phoneticPr fontId="1"/>
  </si>
  <si>
    <t>PRONESの業務メニュー⇒「その他2」⇒「その他」⇒
「出荷済未計上抽出（手配番号指定）」</t>
    <rPh sb="7" eb="9">
      <t>ギョウム</t>
    </rPh>
    <rPh sb="17" eb="18">
      <t>タ</t>
    </rPh>
    <rPh sb="24" eb="25">
      <t>タ</t>
    </rPh>
    <rPh sb="29" eb="32">
      <t>シュッカズ</t>
    </rPh>
    <rPh sb="32" eb="35">
      <t>ミケイジョウ</t>
    </rPh>
    <rPh sb="35" eb="37">
      <t>チュウシュツ</t>
    </rPh>
    <rPh sb="38" eb="42">
      <t>テハイバンゴウ</t>
    </rPh>
    <rPh sb="42" eb="44">
      <t>シテイ</t>
    </rPh>
    <phoneticPr fontId="1"/>
  </si>
  <si>
    <t>⇐</t>
    <phoneticPr fontId="1"/>
  </si>
  <si>
    <t>ボタン</t>
    <phoneticPr fontId="1"/>
  </si>
  <si>
    <t>プルダウン</t>
    <phoneticPr fontId="1"/>
  </si>
  <si>
    <t>数値入力</t>
    <rPh sb="0" eb="2">
      <t>スウチ</t>
    </rPh>
    <rPh sb="2" eb="4">
      <t>ニュウリョク</t>
    </rPh>
    <phoneticPr fontId="1"/>
  </si>
  <si>
    <t>カラーinfo.</t>
    <phoneticPr fontId="1"/>
  </si>
  <si>
    <t>[入力例 : 20230101]</t>
    <rPh sb="1" eb="3">
      <t>ニュウリョク</t>
    </rPh>
    <rPh sb="3" eb="4">
      <t>レイ</t>
    </rPh>
    <phoneticPr fontId="1"/>
  </si>
  <si>
    <t>カウンター更新日</t>
    <rPh sb="5" eb="8">
      <t>コウシンビ</t>
    </rPh>
    <phoneticPr fontId="1"/>
  </si>
  <si>
    <t>⇐選択/書込みをリセット</t>
    <rPh sb="1" eb="3">
      <t>センタク</t>
    </rPh>
    <rPh sb="4" eb="6">
      <t>カキコ</t>
    </rPh>
    <phoneticPr fontId="1"/>
  </si>
  <si>
    <t>1000152</t>
    <phoneticPr fontId="1"/>
  </si>
  <si>
    <t>未出荷指定</t>
    <rPh sb="0" eb="3">
      <t>ミシュッカ</t>
    </rPh>
    <rPh sb="3" eb="5">
      <t>シテイ</t>
    </rPh>
    <phoneticPr fontId="1"/>
  </si>
  <si>
    <t>未出荷全件</t>
    <rPh sb="0" eb="3">
      <t>ミシュッカ</t>
    </rPh>
    <rPh sb="3" eb="5">
      <t>ゼンケン</t>
    </rPh>
    <phoneticPr fontId="1"/>
  </si>
  <si>
    <t>未出荷明細（全件）</t>
    <phoneticPr fontId="1"/>
  </si>
  <si>
    <t>未出荷明細（手配番号指定）</t>
    <phoneticPr fontId="1"/>
  </si>
  <si>
    <t>PRONESの業務メニュー⇒「その他」⇒「その他」⇒
「未出荷手配抽出」⇒このシートの「注番貼付シート」へ
注番を貼り付けてボタンを押してください。</t>
    <rPh sb="7" eb="9">
      <t>ギョウム</t>
    </rPh>
    <rPh sb="17" eb="18">
      <t>タ</t>
    </rPh>
    <rPh sb="23" eb="24">
      <t>タ</t>
    </rPh>
    <rPh sb="28" eb="31">
      <t>ミシュッカ</t>
    </rPh>
    <rPh sb="31" eb="33">
      <t>テハイ</t>
    </rPh>
    <rPh sb="33" eb="35">
      <t>チュウシュツ</t>
    </rPh>
    <rPh sb="44" eb="46">
      <t>チュウバン</t>
    </rPh>
    <rPh sb="46" eb="48">
      <t>ハリツ</t>
    </rPh>
    <rPh sb="54" eb="56">
      <t>チュウバン</t>
    </rPh>
    <rPh sb="57" eb="58">
      <t>ハ</t>
    </rPh>
    <rPh sb="59" eb="60">
      <t>ツ</t>
    </rPh>
    <rPh sb="66" eb="67">
      <t>オ</t>
    </rPh>
    <phoneticPr fontId="1"/>
  </si>
  <si>
    <t>⇐「注番貼付シート」A列へ注番を貼付け後、読込むファイル形式を選択</t>
    <rPh sb="2" eb="4">
      <t>チュウバン</t>
    </rPh>
    <rPh sb="4" eb="6">
      <t>ハリツ</t>
    </rPh>
    <rPh sb="11" eb="12">
      <t>レツ</t>
    </rPh>
    <rPh sb="13" eb="15">
      <t>チュウバン</t>
    </rPh>
    <rPh sb="16" eb="18">
      <t>ハリツ</t>
    </rPh>
    <rPh sb="19" eb="20">
      <t>ゴ</t>
    </rPh>
    <rPh sb="21" eb="23">
      <t>ヨミコ</t>
    </rPh>
    <rPh sb="28" eb="30">
      <t>ケイシキ</t>
    </rPh>
    <rPh sb="31" eb="33">
      <t>センタク</t>
    </rPh>
    <phoneticPr fontId="1"/>
  </si>
  <si>
    <t>A列のみ有効です。
行間隔は隙間なく詰めてください。</t>
    <rPh sb="1" eb="2">
      <t>レツ</t>
    </rPh>
    <rPh sb="4" eb="6">
      <t>ユウコウ</t>
    </rPh>
    <rPh sb="10" eb="13">
      <t>ギョウカンカク</t>
    </rPh>
    <rPh sb="14" eb="16">
      <t>スキマ</t>
    </rPh>
    <rPh sb="18" eb="19">
      <t>ツ</t>
    </rPh>
    <phoneticPr fontId="1"/>
  </si>
  <si>
    <t>⇐「日付指定」または「全件」を選択。
標準のみを出力できます。</t>
    <rPh sb="2" eb="4">
      <t>ヒヅケ</t>
    </rPh>
    <rPh sb="4" eb="6">
      <t>シテイ</t>
    </rPh>
    <rPh sb="11" eb="13">
      <t>ゼンケン</t>
    </rPh>
    <rPh sb="15" eb="17">
      <t>センタク</t>
    </rPh>
    <rPh sb="19" eb="21">
      <t>ヒョウジュン</t>
    </rPh>
    <rPh sb="24" eb="26">
      <t>シュツリョク</t>
    </rPh>
    <phoneticPr fontId="1"/>
  </si>
  <si>
    <t>GM更新日</t>
    <rPh sb="2" eb="4">
      <t>コウシン</t>
    </rPh>
    <phoneticPr fontId="1"/>
  </si>
  <si>
    <t>Process更新日</t>
    <rPh sb="7" eb="10">
      <t>コウシンビ</t>
    </rPh>
    <phoneticPr fontId="1"/>
  </si>
  <si>
    <t>標準(前日迄)</t>
    <rPh sb="0" eb="2">
      <t>ヒョウジュン</t>
    </rPh>
    <rPh sb="3" eb="5">
      <t>ゼンジツ</t>
    </rPh>
    <rPh sb="5" eb="6">
      <t>マデ</t>
    </rPh>
    <phoneticPr fontId="1"/>
  </si>
  <si>
    <t>未出荷納期指定</t>
    <rPh sb="0" eb="3">
      <t>ミシュッカ</t>
    </rPh>
    <rPh sb="3" eb="5">
      <t>ノウキ</t>
    </rPh>
    <rPh sb="5" eb="7">
      <t>シテイ</t>
    </rPh>
    <phoneticPr fontId="1"/>
  </si>
  <si>
    <t>(↑空白で日付指定なし)</t>
    <rPh sb="2" eb="4">
      <t>クウハク</t>
    </rPh>
    <rPh sb="5" eb="7">
      <t>ヒヅケ</t>
    </rPh>
    <rPh sb="7" eb="9">
      <t>シテイ</t>
    </rPh>
    <phoneticPr fontId="1"/>
  </si>
  <si>
    <t>BJ3</t>
  </si>
  <si>
    <t>AH9</t>
  </si>
  <si>
    <t>未出荷部署フラグ名称</t>
    <rPh sb="0" eb="3">
      <t>ミシュッカ</t>
    </rPh>
    <rPh sb="3" eb="5">
      <t>ブショ</t>
    </rPh>
    <rPh sb="8" eb="10">
      <t>メイショウ</t>
    </rPh>
    <phoneticPr fontId="1"/>
  </si>
  <si>
    <t>未出荷部署F番号</t>
    <rPh sb="0" eb="5">
      <t>ミシュッカブショ</t>
    </rPh>
    <rPh sb="6" eb="8">
      <t>バンゴウ</t>
    </rPh>
    <phoneticPr fontId="1"/>
  </si>
  <si>
    <t>全て</t>
    <rPh sb="0" eb="1">
      <t>スベ</t>
    </rPh>
    <phoneticPr fontId="1"/>
  </si>
  <si>
    <t>本社のみ</t>
    <rPh sb="0" eb="2">
      <t>ホンシャ</t>
    </rPh>
    <phoneticPr fontId="1"/>
  </si>
  <si>
    <t>営業所のみ</t>
    <rPh sb="0" eb="2">
      <t>エイギョウ</t>
    </rPh>
    <rPh sb="2" eb="3">
      <t>ショ</t>
    </rPh>
    <phoneticPr fontId="1"/>
  </si>
  <si>
    <t>手配形式</t>
    <rPh sb="0" eb="4">
      <t>テハイケイシキ</t>
    </rPh>
    <phoneticPr fontId="1"/>
  </si>
  <si>
    <t>未出荷注番指定</t>
    <rPh sb="0" eb="3">
      <t>ミシュッカ</t>
    </rPh>
    <rPh sb="3" eb="5">
      <t>チュウバン</t>
    </rPh>
    <rPh sb="5" eb="7">
      <t>シテイ</t>
    </rPh>
    <phoneticPr fontId="1"/>
  </si>
  <si>
    <t>KOA&amp;KOB</t>
    <phoneticPr fontId="1"/>
  </si>
  <si>
    <t>GAI</t>
    <phoneticPr fontId="1"/>
  </si>
  <si>
    <t>コード名</t>
    <rPh sb="3" eb="4">
      <t>メイ</t>
    </rPh>
    <phoneticPr fontId="1"/>
  </si>
  <si>
    <t>コード名F番号</t>
    <rPh sb="3" eb="4">
      <t>メイ</t>
    </rPh>
    <rPh sb="5" eb="7">
      <t>バンゴウ</t>
    </rPh>
    <phoneticPr fontId="1"/>
  </si>
  <si>
    <t>KOA</t>
    <phoneticPr fontId="1"/>
  </si>
  <si>
    <t>KOB</t>
    <phoneticPr fontId="1"/>
  </si>
  <si>
    <t>KOU</t>
    <phoneticPr fontId="1"/>
  </si>
  <si>
    <t>出力部署</t>
    <rPh sb="0" eb="2">
      <t>シュツリョク</t>
    </rPh>
    <rPh sb="2" eb="4">
      <t>ブショ</t>
    </rPh>
    <phoneticPr fontId="1"/>
  </si>
  <si>
    <t>担当手配のみ</t>
    <rPh sb="0" eb="2">
      <t>タントウ</t>
    </rPh>
    <rPh sb="2" eb="4">
      <t>テハイ</t>
    </rPh>
    <phoneticPr fontId="1"/>
  </si>
  <si>
    <t>全て</t>
    <phoneticPr fontId="1"/>
  </si>
  <si>
    <t>開始納期日</t>
    <rPh sb="0" eb="2">
      <t>カイシ</t>
    </rPh>
    <rPh sb="2" eb="5">
      <t>ノウキビ</t>
    </rPh>
    <phoneticPr fontId="1"/>
  </si>
  <si>
    <t>終了納期日</t>
    <rPh sb="0" eb="2">
      <t>シュウリョウ</t>
    </rPh>
    <rPh sb="2" eb="4">
      <t>ノウキ</t>
    </rPh>
    <rPh sb="4" eb="5">
      <t>ヒ</t>
    </rPh>
    <phoneticPr fontId="1"/>
  </si>
  <si>
    <t>上記「未出荷」手順でDL後、手配形式と納期日を指定。開始と終了が空白の場合は前営業日が対象。
日付空白で、前営業日のみ</t>
    <rPh sb="0" eb="2">
      <t>ジョウキ</t>
    </rPh>
    <rPh sb="3" eb="6">
      <t>ミシュッカ</t>
    </rPh>
    <rPh sb="7" eb="9">
      <t>テジュン</t>
    </rPh>
    <rPh sb="12" eb="13">
      <t>ゴ</t>
    </rPh>
    <rPh sb="14" eb="16">
      <t>テハイ</t>
    </rPh>
    <rPh sb="16" eb="18">
      <t>ケイシキ</t>
    </rPh>
    <rPh sb="19" eb="21">
      <t>ノウキ</t>
    </rPh>
    <rPh sb="21" eb="22">
      <t>ヒ</t>
    </rPh>
    <rPh sb="22" eb="23">
      <t>シュウジツ</t>
    </rPh>
    <rPh sb="23" eb="25">
      <t>シテイ</t>
    </rPh>
    <rPh sb="26" eb="28">
      <t>カイシ</t>
    </rPh>
    <rPh sb="29" eb="31">
      <t>シュウリョウ</t>
    </rPh>
    <rPh sb="32" eb="34">
      <t>クウハク</t>
    </rPh>
    <rPh sb="35" eb="37">
      <t>バアイ</t>
    </rPh>
    <rPh sb="38" eb="39">
      <t>ゼン</t>
    </rPh>
    <rPh sb="39" eb="42">
      <t>エイギョウビ</t>
    </rPh>
    <rPh sb="43" eb="45">
      <t>タイショウ</t>
    </rPh>
    <rPh sb="47" eb="49">
      <t>ヒヅケ</t>
    </rPh>
    <rPh sb="49" eb="51">
      <t>クウハク</t>
    </rPh>
    <rPh sb="53" eb="57">
      <t>ゼンエイギョウビ</t>
    </rPh>
    <phoneticPr fontId="1"/>
  </si>
  <si>
    <t>プリンター</t>
    <phoneticPr fontId="1"/>
  </si>
  <si>
    <t>全件</t>
    <phoneticPr fontId="1"/>
  </si>
  <si>
    <t>経由(営)無在庫</t>
    <rPh sb="0" eb="2">
      <t>ケイユ</t>
    </rPh>
    <rPh sb="2" eb="5">
      <t>エイ</t>
    </rPh>
    <rPh sb="5" eb="6">
      <t>ナシ</t>
    </rPh>
    <rPh sb="6" eb="8">
      <t>ザイコ</t>
    </rPh>
    <phoneticPr fontId="1"/>
  </si>
  <si>
    <t>在庫出力</t>
    <rPh sb="0" eb="2">
      <t>ザイコ</t>
    </rPh>
    <rPh sb="2" eb="4">
      <t>シュツリョク</t>
    </rPh>
    <phoneticPr fontId="1"/>
  </si>
  <si>
    <t>★用途について
　・２０日締め作業日の数日前に管理より出力依頼
　・「船舶在庫」「船舶無効在庫」「経由無在庫」の3種を出力
　・管理が各担当に処理指示する為、出力用紙は全て管理へ渡す</t>
    <rPh sb="1" eb="3">
      <t>ヨウト</t>
    </rPh>
    <rPh sb="12" eb="13">
      <t>ニチ</t>
    </rPh>
    <rPh sb="13" eb="14">
      <t>シ</t>
    </rPh>
    <rPh sb="15" eb="18">
      <t>サギョウビ</t>
    </rPh>
    <rPh sb="19" eb="21">
      <t>スウニチ</t>
    </rPh>
    <rPh sb="21" eb="22">
      <t>マエ</t>
    </rPh>
    <rPh sb="23" eb="25">
      <t>カンリ</t>
    </rPh>
    <rPh sb="27" eb="29">
      <t>シュツリョク</t>
    </rPh>
    <rPh sb="29" eb="31">
      <t>イライ</t>
    </rPh>
    <rPh sb="35" eb="37">
      <t>センパク</t>
    </rPh>
    <rPh sb="37" eb="39">
      <t>ザイコ</t>
    </rPh>
    <rPh sb="41" eb="43">
      <t>センパク</t>
    </rPh>
    <rPh sb="43" eb="45">
      <t>ムコウ</t>
    </rPh>
    <rPh sb="45" eb="47">
      <t>ザイコ</t>
    </rPh>
    <rPh sb="49" eb="51">
      <t>ケイユ</t>
    </rPh>
    <rPh sb="51" eb="52">
      <t>ナシ</t>
    </rPh>
    <rPh sb="52" eb="54">
      <t>ザイコ</t>
    </rPh>
    <rPh sb="57" eb="58">
      <t>シュ</t>
    </rPh>
    <rPh sb="59" eb="61">
      <t>シュツリョク</t>
    </rPh>
    <rPh sb="64" eb="66">
      <t>カンリ</t>
    </rPh>
    <rPh sb="67" eb="70">
      <t>カクタントウ</t>
    </rPh>
    <rPh sb="71" eb="73">
      <t>ショリ</t>
    </rPh>
    <rPh sb="73" eb="75">
      <t>シジ</t>
    </rPh>
    <rPh sb="77" eb="78">
      <t>タメ</t>
    </rPh>
    <rPh sb="79" eb="81">
      <t>シュツリョク</t>
    </rPh>
    <rPh sb="81" eb="83">
      <t>ヨウシ</t>
    </rPh>
    <rPh sb="84" eb="85">
      <t>スベ</t>
    </rPh>
    <rPh sb="86" eb="88">
      <t>カンリ</t>
    </rPh>
    <rPh sb="89" eb="90">
      <t>ワタ</t>
    </rPh>
    <phoneticPr fontId="1"/>
  </si>
  <si>
    <t>末日締(Y抜)</t>
    <rPh sb="0" eb="3">
      <t>マツジツシ</t>
    </rPh>
    <rPh sb="5" eb="6">
      <t>ヌ</t>
    </rPh>
    <phoneticPr fontId="1"/>
  </si>
  <si>
    <t>船舶(E番)のみ</t>
    <rPh sb="0" eb="2">
      <t>センパク</t>
    </rPh>
    <rPh sb="4" eb="5">
      <t>バン</t>
    </rPh>
    <phoneticPr fontId="1"/>
  </si>
  <si>
    <t>船舶(E番)抜き</t>
    <rPh sb="0" eb="2">
      <t>センパク</t>
    </rPh>
    <rPh sb="4" eb="5">
      <t>バン</t>
    </rPh>
    <rPh sb="6" eb="7">
      <t>ヌ</t>
    </rPh>
    <phoneticPr fontId="1"/>
  </si>
  <si>
    <t>在</t>
    <rPh sb="0" eb="1">
      <t>ザイ</t>
    </rPh>
    <phoneticPr fontId="1"/>
  </si>
  <si>
    <t>■在庫出力　説明
　[ - ]・・・在庫も含めて出力
　[在庫抜き]・・・すべての在庫を除いて出力
　[船舶在庫]・・・得意先コード(15000015)のみ出力
　[船舶無効在庫]・・・得意先ｺｰﾄﾞ(15000015)以外の在庫でE番、
　　　　　　　　　　　送り先コードが在庫以外の手配を出力
　[経由(営)無在庫]・・・経由営業所が入っていない在庫のみ出力
　　　　　　　　　　　　※責任部門(船舶)除く
     [受注以外在庫]・・・請求先＝在庫、受注先≠在庫を出力</t>
    <rPh sb="1" eb="5">
      <t>ザイコシュツリョク</t>
    </rPh>
    <rPh sb="6" eb="8">
      <t>セツメイ</t>
    </rPh>
    <rPh sb="18" eb="20">
      <t>ザイコ</t>
    </rPh>
    <rPh sb="21" eb="22">
      <t>フク</t>
    </rPh>
    <rPh sb="24" eb="26">
      <t>シュツリョク</t>
    </rPh>
    <rPh sb="29" eb="32">
      <t>ザイコヌ</t>
    </rPh>
    <rPh sb="41" eb="43">
      <t>ザイコ</t>
    </rPh>
    <rPh sb="44" eb="45">
      <t>ノゾ</t>
    </rPh>
    <rPh sb="47" eb="49">
      <t>シュツリョク</t>
    </rPh>
    <rPh sb="52" eb="54">
      <t>センパク</t>
    </rPh>
    <rPh sb="54" eb="56">
      <t>ザイコ</t>
    </rPh>
    <rPh sb="60" eb="63">
      <t>トクイサキ</t>
    </rPh>
    <rPh sb="78" eb="80">
      <t>シュツリョク</t>
    </rPh>
    <rPh sb="83" eb="85">
      <t>センパク</t>
    </rPh>
    <rPh sb="85" eb="87">
      <t>ムコウ</t>
    </rPh>
    <rPh sb="87" eb="89">
      <t>ザイコ</t>
    </rPh>
    <rPh sb="113" eb="115">
      <t>ザイコ</t>
    </rPh>
    <rPh sb="117" eb="118">
      <t>バン</t>
    </rPh>
    <rPh sb="131" eb="132">
      <t>オク</t>
    </rPh>
    <rPh sb="133" eb="134">
      <t>サキ</t>
    </rPh>
    <rPh sb="138" eb="142">
      <t>ザイコイガイ</t>
    </rPh>
    <rPh sb="143" eb="145">
      <t>テハイ</t>
    </rPh>
    <rPh sb="156" eb="158">
      <t>イガイ</t>
    </rPh>
    <rPh sb="159" eb="161">
      <t>テハイ</t>
    </rPh>
    <rPh sb="162" eb="164">
      <t>シュツリョク</t>
    </rPh>
    <rPh sb="167" eb="169">
      <t>ケイユ</t>
    </rPh>
    <rPh sb="172" eb="173">
      <t>ナシ</t>
    </rPh>
    <rPh sb="173" eb="175">
      <t>ザイコセキニンブモンセンパクノゾ</t>
    </rPh>
    <rPh sb="212" eb="216">
      <t>ジュチュウイガイ</t>
    </rPh>
    <rPh sb="216" eb="218">
      <t>ザイコ</t>
    </rPh>
    <rPh sb="222" eb="225">
      <t>セイキュウサキ</t>
    </rPh>
    <rPh sb="226" eb="228">
      <t>ザイコ</t>
    </rPh>
    <rPh sb="229" eb="231">
      <t>ジュチュウ</t>
    </rPh>
    <rPh sb="231" eb="232">
      <t>サキ</t>
    </rPh>
    <rPh sb="233" eb="235">
      <t>ザイコ</t>
    </rPh>
    <rPh sb="236" eb="238">
      <t>シュツリョク</t>
    </rPh>
    <phoneticPr fontId="1"/>
  </si>
  <si>
    <t>在庫のみ</t>
    <rPh sb="0" eb="2">
      <t>ザイコ</t>
    </rPh>
    <phoneticPr fontId="1"/>
  </si>
  <si>
    <t>AS12</t>
    <phoneticPr fontId="1"/>
  </si>
  <si>
    <t>経由&gt;受注,経由=受注 警告</t>
    <rPh sb="0" eb="2">
      <t>ケイユ</t>
    </rPh>
    <rPh sb="3" eb="5">
      <t>ジュチュウ</t>
    </rPh>
    <rPh sb="6" eb="8">
      <t>ケイユ</t>
    </rPh>
    <rPh sb="9" eb="11">
      <t>ジュチュウ</t>
    </rPh>
    <rPh sb="12" eb="14">
      <t>ケイコク</t>
    </rPh>
    <phoneticPr fontId="1"/>
  </si>
  <si>
    <t>経由先番号１</t>
    <phoneticPr fontId="1"/>
  </si>
  <si>
    <t>受注先番号</t>
    <phoneticPr fontId="1"/>
  </si>
  <si>
    <t>経由先１_金額</t>
    <phoneticPr fontId="1"/>
  </si>
  <si>
    <t>受注先_金額</t>
    <phoneticPr fontId="1"/>
  </si>
  <si>
    <t>計画必要数</t>
    <phoneticPr fontId="1"/>
  </si>
  <si>
    <t>経由先１_単価</t>
    <phoneticPr fontId="1"/>
  </si>
  <si>
    <t>受注先_単価</t>
    <phoneticPr fontId="1"/>
  </si>
  <si>
    <t>船舶売上不可</t>
    <rPh sb="0" eb="2">
      <t>センパク</t>
    </rPh>
    <rPh sb="2" eb="4">
      <t>ウリアゲ</t>
    </rPh>
    <rPh sb="4" eb="6">
      <t>フカ</t>
    </rPh>
    <phoneticPr fontId="1"/>
  </si>
  <si>
    <t>E251065350</t>
    <phoneticPr fontId="1"/>
  </si>
  <si>
    <t>T251071120</t>
    <phoneticPr fontId="1"/>
  </si>
  <si>
    <t>T251062940</t>
    <phoneticPr fontId="1"/>
  </si>
  <si>
    <t>担当手配抜き</t>
    <phoneticPr fontId="1"/>
  </si>
  <si>
    <t>在庫抜き</t>
    <phoneticPr fontId="1"/>
  </si>
  <si>
    <t>在庫のみ(E除く)</t>
    <rPh sb="0" eb="2">
      <t>ザイコ</t>
    </rPh>
    <rPh sb="6" eb="7">
      <t>ノゾ</t>
    </rPh>
    <phoneticPr fontId="1"/>
  </si>
  <si>
    <t>在庫(受注が客先)</t>
    <rPh sb="0" eb="2">
      <t>ザイコ</t>
    </rPh>
    <rPh sb="3" eb="5">
      <t>ジュチュウ</t>
    </rPh>
    <rPh sb="6" eb="8">
      <t>キャクサキ</t>
    </rPh>
    <phoneticPr fontId="1"/>
  </si>
  <si>
    <t>[日付入力例 : 20250101]</t>
    <rPh sb="1" eb="3">
      <t>ヒヅケ</t>
    </rPh>
    <phoneticPr fontId="1"/>
  </si>
  <si>
    <t>上記「未出荷注番指定」の手順でDL後、手配形式と納期日を指定。開始と終了が空白の場合は前営業日が対象。
日付空白で、前営業日のみ</t>
    <rPh sb="0" eb="2">
      <t>ジョウキ</t>
    </rPh>
    <rPh sb="3" eb="6">
      <t>ミシュッカ</t>
    </rPh>
    <rPh sb="6" eb="10">
      <t>チュウバンシテイ</t>
    </rPh>
    <rPh sb="12" eb="14">
      <t>テジュン</t>
    </rPh>
    <rPh sb="17" eb="18">
      <t>ゴ</t>
    </rPh>
    <rPh sb="19" eb="21">
      <t>テハイ</t>
    </rPh>
    <rPh sb="21" eb="23">
      <t>ケイシキ</t>
    </rPh>
    <rPh sb="24" eb="26">
      <t>ノウキ</t>
    </rPh>
    <rPh sb="26" eb="27">
      <t>ヒ</t>
    </rPh>
    <rPh sb="27" eb="28">
      <t>シュウジツ</t>
    </rPh>
    <rPh sb="28" eb="30">
      <t>シテイ</t>
    </rPh>
    <rPh sb="31" eb="33">
      <t>カイシ</t>
    </rPh>
    <rPh sb="34" eb="36">
      <t>シュウリョウ</t>
    </rPh>
    <rPh sb="37" eb="39">
      <t>クウハク</t>
    </rPh>
    <rPh sb="40" eb="42">
      <t>バアイ</t>
    </rPh>
    <rPh sb="43" eb="44">
      <t>ゼン</t>
    </rPh>
    <rPh sb="44" eb="47">
      <t>エイギョウビ</t>
    </rPh>
    <rPh sb="48" eb="50">
      <t>タイショウ</t>
    </rPh>
    <rPh sb="52" eb="54">
      <t>ヒヅケ</t>
    </rPh>
    <rPh sb="54" eb="56">
      <t>クウハク</t>
    </rPh>
    <rPh sb="58" eb="62">
      <t>ゼンエイギョウビ</t>
    </rPh>
    <phoneticPr fontId="1"/>
  </si>
  <si>
    <t>PRONESの業務メニュー⇒「高澤手配」⇒「その他」⇒
「出荷済未計上抽出（手配番号指定）」でデータをDL完了後に実行してください。</t>
    <rPh sb="7" eb="9">
      <t>ギョウム</t>
    </rPh>
    <rPh sb="15" eb="19">
      <t>タカザワテハイ</t>
    </rPh>
    <rPh sb="24" eb="25">
      <t>タ</t>
    </rPh>
    <rPh sb="29" eb="32">
      <t>シュッカズ</t>
    </rPh>
    <rPh sb="32" eb="35">
      <t>ミケイジョウ</t>
    </rPh>
    <rPh sb="35" eb="37">
      <t>チュウシュツ</t>
    </rPh>
    <rPh sb="38" eb="42">
      <t>テハイバンゴウ</t>
    </rPh>
    <rPh sb="42" eb="44">
      <t>シテイ</t>
    </rPh>
    <rPh sb="53" eb="56">
      <t>カンリョウゴ</t>
    </rPh>
    <rPh sb="57" eb="59">
      <t>ジッコウ</t>
    </rPh>
    <phoneticPr fontId="1"/>
  </si>
  <si>
    <t>PRONESの業務メニュー⇒「高澤手配」⇒「その他」⇒
「出荷済未計上抽出（全件）」でデータをDL完了後に実行してください。</t>
    <rPh sb="7" eb="9">
      <t>ギョウム</t>
    </rPh>
    <rPh sb="15" eb="19">
      <t>タカザワテハイ</t>
    </rPh>
    <rPh sb="24" eb="25">
      <t>タ</t>
    </rPh>
    <rPh sb="29" eb="32">
      <t>シュッカズ</t>
    </rPh>
    <rPh sb="32" eb="35">
      <t>ミケイジョウ</t>
    </rPh>
    <rPh sb="35" eb="37">
      <t>チュウシュツ</t>
    </rPh>
    <rPh sb="38" eb="40">
      <t>ゼンケン</t>
    </rPh>
    <rPh sb="49" eb="52">
      <t>カンリョウゴ</t>
    </rPh>
    <rPh sb="53" eb="55">
      <t>ジッコウ</t>
    </rPh>
    <phoneticPr fontId="1"/>
  </si>
  <si>
    <t>終了出荷日</t>
    <rPh sb="0" eb="2">
      <t>シュウリョウ</t>
    </rPh>
    <rPh sb="2" eb="4">
      <t>シュッカ</t>
    </rPh>
    <rPh sb="4" eb="5">
      <t>ヒ</t>
    </rPh>
    <phoneticPr fontId="1"/>
  </si>
  <si>
    <t>開始出荷日</t>
    <rPh sb="0" eb="2">
      <t>カイシ</t>
    </rPh>
    <rPh sb="2" eb="5">
      <t>シュッカビ</t>
    </rPh>
    <phoneticPr fontId="1"/>
  </si>
  <si>
    <t>PRONESの業務メニュー⇒「その他2」⇒「その他」⇒「出荷済未計上抽出（全件）」でデータをDL完了後に実行してください。</t>
    <rPh sb="17" eb="18">
      <t>タ</t>
    </rPh>
    <phoneticPr fontId="1"/>
  </si>
  <si>
    <t>ID：</t>
    <phoneticPr fontId="1"/>
  </si>
  <si>
    <t>出力ﾌﾟﾘﾝﾀｰ</t>
    <rPh sb="0" eb="2">
      <t>シュツリョク</t>
    </rPh>
    <phoneticPr fontId="1"/>
  </si>
  <si>
    <t>出力済み</t>
    <phoneticPr fontId="1"/>
  </si>
  <si>
    <t>2025年08月28日 15時05分32秒</t>
    <phoneticPr fontId="1"/>
  </si>
  <si>
    <t>2025年08月29日 08時18分10秒</t>
    <phoneticPr fontId="1"/>
  </si>
  <si>
    <t>2025年08月28日 15時26分34秒</t>
    <phoneticPr fontId="1"/>
  </si>
  <si>
    <t>3F K043a for DocuCentre-VI C4471</t>
  </si>
  <si>
    <t>5F-KIKAKU-FUJIFILM-ApeosC3570</t>
  </si>
  <si>
    <t>CP400 d</t>
  </si>
  <si>
    <t>Fax</t>
  </si>
  <si>
    <t>FF K006a for ApeosPort C3570</t>
  </si>
  <si>
    <t>FUJIFILM Apeos C3530</t>
  </si>
  <si>
    <t>Microsoft XPS Document Writer</t>
  </si>
  <si>
    <t>OneNote for Windows 10</t>
  </si>
  <si>
    <t>【船舶機械部】FF K006a for ApeosPort C3570</t>
  </si>
  <si>
    <t>経理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</si>
</sst>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);[Red]\(#,##0\)"/>
    <numFmt numFmtId="177" formatCode="[$-411]ggge&quot;年&quot;m&quot;月&quot;d&quot;日&quot;h&quot;時&quot;mm&quot;分&quot;ss&quot;秒&quot;"/>
    <numFmt numFmtId="178" formatCode="yyyy/mm/dd"/>
    <numFmt numFmtId="179" formatCode="0.0%"/>
    <numFmt numFmtId="180" formatCode="yyyy/m/d\ h:mm;@"/>
  </numFmts>
  <fonts count="1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  <font>
      <sz val="16"/>
      <color theme="1"/>
      <name val="CODE39"/>
      <family val="2"/>
    </font>
    <font>
      <b/>
      <sz val="14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28"/>
      <color theme="1"/>
      <name val="Code39"/>
      <charset val="1"/>
    </font>
    <font>
      <sz val="36"/>
      <color theme="1"/>
      <name val="Code39"/>
      <charset val="1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/>
      <diagonal style="thin">
        <color indexed="64"/>
      </diagonal>
    </border>
    <border diagonalDown="1">
      <left/>
      <right/>
      <top/>
      <bottom/>
      <diagonal style="thin">
        <color indexed="64"/>
      </diagonal>
    </border>
    <border diagonalDown="1">
      <left/>
      <right style="thin">
        <color indexed="64"/>
      </right>
      <top/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medium">
        <color indexed="64"/>
      </left>
      <right/>
      <top style="medium">
        <color indexed="64"/>
      </top>
      <bottom/>
      <diagonal style="thin">
        <color indexed="64"/>
      </diagonal>
    </border>
    <border diagonalDown="1">
      <left/>
      <right/>
      <top style="medium">
        <color indexed="64"/>
      </top>
      <bottom/>
      <diagonal style="thin">
        <color indexed="64"/>
      </diagonal>
    </border>
    <border diagonalDown="1">
      <left/>
      <right style="medium">
        <color indexed="64"/>
      </right>
      <top style="medium">
        <color indexed="64"/>
      </top>
      <bottom/>
      <diagonal style="thin">
        <color indexed="64"/>
      </diagonal>
    </border>
    <border diagonalDown="1">
      <left/>
      <right style="medium">
        <color indexed="64"/>
      </right>
      <top/>
      <bottom/>
      <diagonal style="thin">
        <color indexed="64"/>
      </diagonal>
    </border>
    <border diagonalDown="1">
      <left style="medium">
        <color indexed="64"/>
      </left>
      <right/>
      <top/>
      <bottom style="medium">
        <color indexed="64"/>
      </bottom>
      <diagonal style="thin">
        <color indexed="64"/>
      </diagonal>
    </border>
    <border diagonalDown="1">
      <left/>
      <right/>
      <top/>
      <bottom style="medium">
        <color indexed="64"/>
      </bottom>
      <diagonal style="thin">
        <color indexed="64"/>
      </diagonal>
    </border>
    <border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 style="slantDashDot">
        <color indexed="64"/>
      </left>
      <right/>
      <top style="slantDashDot">
        <color indexed="64"/>
      </top>
      <bottom/>
      <diagonal/>
    </border>
    <border>
      <left/>
      <right/>
      <top style="slantDashDot">
        <color indexed="64"/>
      </top>
      <bottom/>
      <diagonal/>
    </border>
    <border>
      <left/>
      <right style="slantDashDot">
        <color indexed="64"/>
      </right>
      <top style="slantDashDot">
        <color indexed="64"/>
      </top>
      <bottom/>
      <diagonal/>
    </border>
    <border>
      <left style="slantDashDot">
        <color indexed="64"/>
      </left>
      <right/>
      <top/>
      <bottom/>
      <diagonal/>
    </border>
    <border>
      <left/>
      <right style="slantDashDot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/>
      <right style="slantDashDot">
        <color indexed="64"/>
      </right>
      <top/>
      <bottom style="slantDashDot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2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4" fillId="0" borderId="5" xfId="0" applyFont="1" applyBorder="1">
      <alignment vertical="center"/>
    </xf>
    <xf numFmtId="56" fontId="5" fillId="0" borderId="5" xfId="1" applyNumberFormat="1" applyFont="1" applyBorder="1" applyAlignment="1">
      <alignment vertical="center" shrinkToFit="1"/>
    </xf>
    <xf numFmtId="0" fontId="5" fillId="0" borderId="5" xfId="1" applyNumberFormat="1" applyFont="1" applyBorder="1" applyAlignment="1">
      <alignment vertical="center" shrinkToFit="1"/>
    </xf>
    <xf numFmtId="0" fontId="7" fillId="0" borderId="5" xfId="0" applyFont="1" applyBorder="1">
      <alignment vertical="center"/>
    </xf>
    <xf numFmtId="0" fontId="4" fillId="0" borderId="0" xfId="0" applyFont="1">
      <alignment vertical="center"/>
    </xf>
    <xf numFmtId="0" fontId="11" fillId="0" borderId="0" xfId="0" applyFont="1">
      <alignment vertical="center"/>
    </xf>
    <xf numFmtId="0" fontId="10" fillId="0" borderId="0" xfId="0" applyFont="1">
      <alignment vertical="center"/>
    </xf>
    <xf numFmtId="18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8" fillId="0" borderId="0" xfId="0" applyFont="1">
      <alignment vertical="center"/>
    </xf>
    <xf numFmtId="0" fontId="4" fillId="0" borderId="41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0" fillId="0" borderId="34" xfId="0" applyBorder="1" applyAlignment="1">
      <alignment horizontal="center" vertical="center"/>
    </xf>
    <xf numFmtId="0" fontId="0" fillId="0" borderId="47" xfId="0" applyBorder="1">
      <alignment vertical="center"/>
    </xf>
    <xf numFmtId="0" fontId="0" fillId="0" borderId="48" xfId="0" applyBorder="1">
      <alignment vertical="center"/>
    </xf>
    <xf numFmtId="0" fontId="0" fillId="0" borderId="47" xfId="0" applyBorder="1" applyAlignment="1">
      <alignment horizontal="center" vertical="center" shrinkToFit="1"/>
    </xf>
    <xf numFmtId="0" fontId="0" fillId="0" borderId="49" xfId="0" applyBorder="1">
      <alignment vertical="center"/>
    </xf>
    <xf numFmtId="0" fontId="0" fillId="0" borderId="23" xfId="0" applyBorder="1">
      <alignment vertical="center"/>
    </xf>
    <xf numFmtId="0" fontId="0" fillId="3" borderId="49" xfId="0" applyFill="1" applyBorder="1">
      <alignment vertical="center"/>
    </xf>
    <xf numFmtId="0" fontId="0" fillId="3" borderId="0" xfId="0" applyFill="1">
      <alignment vertical="center"/>
    </xf>
    <xf numFmtId="0" fontId="0" fillId="2" borderId="49" xfId="0" applyFill="1" applyBorder="1">
      <alignment vertical="center"/>
    </xf>
    <xf numFmtId="0" fontId="0" fillId="2" borderId="0" xfId="0" applyFill="1">
      <alignment vertical="center"/>
    </xf>
    <xf numFmtId="0" fontId="0" fillId="0" borderId="5" xfId="0" applyBorder="1">
      <alignment vertical="center"/>
    </xf>
    <xf numFmtId="0" fontId="0" fillId="4" borderId="49" xfId="0" applyFill="1" applyBorder="1">
      <alignment vertical="center"/>
    </xf>
    <xf numFmtId="0" fontId="0" fillId="4" borderId="0" xfId="0" applyFill="1">
      <alignment vertical="center"/>
    </xf>
    <xf numFmtId="0" fontId="0" fillId="0" borderId="45" xfId="0" applyBorder="1">
      <alignment vertical="center"/>
    </xf>
    <xf numFmtId="0" fontId="0" fillId="0" borderId="46" xfId="0" applyBorder="1">
      <alignment vertical="center"/>
    </xf>
    <xf numFmtId="0" fontId="0" fillId="0" borderId="34" xfId="0" applyBorder="1">
      <alignment vertical="center"/>
    </xf>
    <xf numFmtId="0" fontId="0" fillId="0" borderId="49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/>
    </xf>
    <xf numFmtId="0" fontId="0" fillId="0" borderId="39" xfId="0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34" xfId="0" applyBorder="1" applyAlignment="1">
      <alignment vertical="top"/>
    </xf>
    <xf numFmtId="0" fontId="0" fillId="0" borderId="0" xfId="0" applyAlignment="1">
      <alignment vertical="top"/>
    </xf>
    <xf numFmtId="0" fontId="4" fillId="0" borderId="19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0" borderId="50" xfId="0" applyFont="1" applyBorder="1" applyAlignment="1">
      <alignment horizontal="center" vertical="center"/>
    </xf>
    <xf numFmtId="0" fontId="0" fillId="0" borderId="48" xfId="0" applyBorder="1" applyAlignment="1">
      <alignment vertical="top" wrapText="1"/>
    </xf>
    <xf numFmtId="0" fontId="0" fillId="0" borderId="47" xfId="0" applyBorder="1" applyAlignment="1">
      <alignment vertical="top" wrapText="1"/>
    </xf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4" borderId="1" xfId="0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 vertical="center"/>
    </xf>
    <xf numFmtId="0" fontId="0" fillId="0" borderId="5" xfId="0" applyBorder="1" applyAlignment="1">
      <alignment horizontal="right" vertical="center"/>
    </xf>
    <xf numFmtId="0" fontId="0" fillId="3" borderId="4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2" xfId="0" applyFill="1" applyBorder="1" applyAlignment="1">
      <alignment horizontal="center" vertical="center" shrinkToFit="1"/>
    </xf>
    <xf numFmtId="0" fontId="0" fillId="3" borderId="45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46" xfId="0" applyFill="1" applyBorder="1" applyAlignment="1">
      <alignment horizontal="center" vertical="center" shrinkToFit="1"/>
    </xf>
    <xf numFmtId="0" fontId="0" fillId="0" borderId="12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8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47" xfId="0" applyBorder="1" applyAlignment="1">
      <alignment horizontal="left" vertical="center" wrapText="1"/>
    </xf>
    <xf numFmtId="0" fontId="0" fillId="0" borderId="3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47" xfId="0" applyBorder="1" applyAlignment="1">
      <alignment horizontal="left" vertical="top" wrapText="1"/>
    </xf>
    <xf numFmtId="0" fontId="0" fillId="3" borderId="1" xfId="0" applyFill="1" applyBorder="1" applyAlignment="1">
      <alignment horizontal="center" vertical="center"/>
    </xf>
    <xf numFmtId="0" fontId="0" fillId="5" borderId="51" xfId="0" applyFill="1" applyBorder="1" applyAlignment="1">
      <alignment horizontal="left" vertical="top" wrapText="1"/>
    </xf>
    <xf numFmtId="0" fontId="0" fillId="5" borderId="52" xfId="0" applyFill="1" applyBorder="1" applyAlignment="1">
      <alignment horizontal="left" vertical="top" wrapText="1"/>
    </xf>
    <xf numFmtId="0" fontId="0" fillId="5" borderId="53" xfId="0" applyFill="1" applyBorder="1" applyAlignment="1">
      <alignment horizontal="left" vertical="top" wrapText="1"/>
    </xf>
    <xf numFmtId="0" fontId="0" fillId="5" borderId="54" xfId="0" applyFill="1" applyBorder="1" applyAlignment="1">
      <alignment horizontal="left" vertical="top" wrapText="1"/>
    </xf>
    <xf numFmtId="0" fontId="0" fillId="5" borderId="55" xfId="0" applyFill="1" applyBorder="1" applyAlignment="1">
      <alignment horizontal="left" vertical="top" wrapText="1"/>
    </xf>
    <xf numFmtId="0" fontId="0" fillId="5" borderId="56" xfId="0" applyFill="1" applyBorder="1" applyAlignment="1">
      <alignment horizontal="left" vertical="top" wrapText="1"/>
    </xf>
    <xf numFmtId="0" fontId="0" fillId="5" borderId="57" xfId="0" applyFill="1" applyBorder="1" applyAlignment="1">
      <alignment horizontal="left" vertical="top" wrapText="1"/>
    </xf>
    <xf numFmtId="0" fontId="0" fillId="5" borderId="58" xfId="0" applyFill="1" applyBorder="1" applyAlignment="1">
      <alignment horizontal="left" vertical="top" wrapText="1"/>
    </xf>
    <xf numFmtId="0" fontId="0" fillId="5" borderId="59" xfId="0" applyFill="1" applyBorder="1" applyAlignment="1">
      <alignment horizontal="left" vertical="top" wrapText="1"/>
    </xf>
    <xf numFmtId="0" fontId="5" fillId="5" borderId="60" xfId="0" applyFont="1" applyFill="1" applyBorder="1" applyAlignment="1">
      <alignment horizontal="left" vertical="center" wrapText="1"/>
    </xf>
    <xf numFmtId="0" fontId="5" fillId="5" borderId="61" xfId="0" applyFont="1" applyFill="1" applyBorder="1" applyAlignment="1">
      <alignment horizontal="left" vertical="center" wrapText="1"/>
    </xf>
    <xf numFmtId="0" fontId="5" fillId="5" borderId="62" xfId="0" applyFont="1" applyFill="1" applyBorder="1" applyAlignment="1">
      <alignment horizontal="left" vertical="center" wrapText="1"/>
    </xf>
    <xf numFmtId="0" fontId="5" fillId="5" borderId="55" xfId="0" applyFont="1" applyFill="1" applyBorder="1" applyAlignment="1">
      <alignment horizontal="left" vertical="center" wrapText="1"/>
    </xf>
    <xf numFmtId="0" fontId="5" fillId="5" borderId="63" xfId="0" applyFont="1" applyFill="1" applyBorder="1" applyAlignment="1">
      <alignment horizontal="left" vertical="center" wrapText="1"/>
    </xf>
    <xf numFmtId="0" fontId="5" fillId="5" borderId="64" xfId="0" applyFont="1" applyFill="1" applyBorder="1" applyAlignment="1">
      <alignment horizontal="left" vertical="center" wrapText="1"/>
    </xf>
    <xf numFmtId="0" fontId="5" fillId="5" borderId="65" xfId="0" applyFont="1" applyFill="1" applyBorder="1" applyAlignment="1">
      <alignment horizontal="left" vertical="center" wrapText="1"/>
    </xf>
    <xf numFmtId="0" fontId="5" fillId="5" borderId="66" xfId="0" applyFont="1" applyFill="1" applyBorder="1" applyAlignment="1">
      <alignment horizontal="left" vertical="center" wrapText="1"/>
    </xf>
    <xf numFmtId="0" fontId="0" fillId="0" borderId="67" xfId="0" applyBorder="1" applyAlignment="1">
      <alignment horizontal="left" vertical="top" wrapText="1"/>
    </xf>
    <xf numFmtId="0" fontId="0" fillId="0" borderId="68" xfId="0" applyBorder="1" applyAlignment="1">
      <alignment horizontal="left" vertical="top" wrapText="1"/>
    </xf>
    <xf numFmtId="0" fontId="0" fillId="0" borderId="69" xfId="0" applyBorder="1" applyAlignment="1">
      <alignment horizontal="left" vertical="top" wrapText="1"/>
    </xf>
    <xf numFmtId="0" fontId="0" fillId="0" borderId="70" xfId="0" applyBorder="1" applyAlignment="1">
      <alignment horizontal="left" vertical="top" wrapText="1"/>
    </xf>
    <xf numFmtId="0" fontId="0" fillId="0" borderId="71" xfId="0" applyBorder="1" applyAlignment="1">
      <alignment horizontal="left" vertical="top" wrapText="1"/>
    </xf>
    <xf numFmtId="0" fontId="0" fillId="0" borderId="72" xfId="0" applyBorder="1" applyAlignment="1">
      <alignment horizontal="left" vertical="top" wrapText="1"/>
    </xf>
    <xf numFmtId="0" fontId="0" fillId="0" borderId="73" xfId="0" applyBorder="1" applyAlignment="1">
      <alignment horizontal="left" vertical="top" wrapText="1"/>
    </xf>
    <xf numFmtId="0" fontId="0" fillId="0" borderId="74" xfId="0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47" xfId="0" applyBorder="1" applyAlignment="1">
      <alignment horizontal="left" vertical="top"/>
    </xf>
    <xf numFmtId="0" fontId="0" fillId="2" borderId="37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 shrinkToFit="1"/>
    </xf>
    <xf numFmtId="0" fontId="0" fillId="0" borderId="3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2" xfId="0" applyBorder="1" applyAlignment="1">
      <alignment horizontal="left" vertical="top"/>
    </xf>
    <xf numFmtId="0" fontId="0" fillId="0" borderId="34" xfId="0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0" fillId="0" borderId="0" xfId="0" applyAlignment="1">
      <alignment horizontal="left" vertical="center"/>
    </xf>
    <xf numFmtId="38" fontId="0" fillId="0" borderId="0" xfId="1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3" xfId="0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right" vertical="center"/>
    </xf>
    <xf numFmtId="176" fontId="0" fillId="0" borderId="3" xfId="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shrinkToFit="1"/>
    </xf>
    <xf numFmtId="0" fontId="0" fillId="0" borderId="0" xfId="0" quotePrefix="1" applyAlignment="1">
      <alignment horizontal="left" vertical="center" shrinkToFit="1"/>
    </xf>
    <xf numFmtId="11" fontId="0" fillId="0" borderId="0" xfId="0" applyNumberFormat="1" applyAlignment="1">
      <alignment horizontal="left" vertical="center"/>
    </xf>
    <xf numFmtId="49" fontId="3" fillId="0" borderId="3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 wrapText="1"/>
    </xf>
    <xf numFmtId="49" fontId="0" fillId="0" borderId="5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0" fontId="5" fillId="0" borderId="5" xfId="1" applyNumberFormat="1" applyFont="1" applyBorder="1" applyAlignment="1">
      <alignment horizontal="center" vertical="center" shrinkToFit="1"/>
    </xf>
    <xf numFmtId="179" fontId="5" fillId="0" borderId="0" xfId="0" applyNumberFormat="1" applyFont="1" applyAlignment="1">
      <alignment horizontal="right" vertical="center" shrinkToFit="1"/>
    </xf>
    <xf numFmtId="0" fontId="4" fillId="0" borderId="0" xfId="0" applyFont="1" applyAlignment="1">
      <alignment horizontal="left" vertical="center"/>
    </xf>
    <xf numFmtId="0" fontId="14" fillId="0" borderId="5" xfId="0" applyFont="1" applyBorder="1" applyAlignment="1">
      <alignment horizontal="center"/>
    </xf>
    <xf numFmtId="0" fontId="0" fillId="0" borderId="2" xfId="0" applyBorder="1" applyAlignment="1">
      <alignment horizontal="left" vertical="center"/>
    </xf>
    <xf numFmtId="49" fontId="0" fillId="0" borderId="3" xfId="0" applyNumberForma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/>
    </xf>
    <xf numFmtId="49" fontId="15" fillId="0" borderId="4" xfId="0" applyNumberFormat="1" applyFont="1" applyBorder="1" applyAlignment="1">
      <alignment horizontal="center" vertical="center"/>
    </xf>
    <xf numFmtId="49" fontId="4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0" fillId="0" borderId="33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 shrinkToFit="1"/>
    </xf>
    <xf numFmtId="0" fontId="8" fillId="0" borderId="18" xfId="0" applyFont="1" applyBorder="1" applyAlignment="1">
      <alignment horizontal="center" vertical="center" shrinkToFit="1"/>
    </xf>
    <xf numFmtId="0" fontId="8" fillId="0" borderId="19" xfId="0" applyFont="1" applyBorder="1" applyAlignment="1">
      <alignment horizontal="center" vertical="center" shrinkToFit="1"/>
    </xf>
    <xf numFmtId="0" fontId="8" fillId="0" borderId="20" xfId="0" applyFont="1" applyBorder="1" applyAlignment="1">
      <alignment horizontal="center" vertical="center" shrinkToFit="1"/>
    </xf>
    <xf numFmtId="180" fontId="0" fillId="0" borderId="0" xfId="0" applyNumberFormat="1" applyAlignment="1">
      <alignment horizontal="center" vertical="center"/>
    </xf>
    <xf numFmtId="0" fontId="8" fillId="0" borderId="11" xfId="0" applyFont="1" applyBorder="1" applyAlignment="1">
      <alignment horizontal="center" vertical="center" shrinkToFit="1"/>
    </xf>
    <xf numFmtId="0" fontId="8" fillId="0" borderId="12" xfId="0" applyFont="1" applyBorder="1" applyAlignment="1">
      <alignment horizontal="center" vertical="center" shrinkToFit="1"/>
    </xf>
    <xf numFmtId="0" fontId="8" fillId="0" borderId="13" xfId="0" applyFont="1" applyBorder="1" applyAlignment="1">
      <alignment horizontal="center" vertical="center" shrinkToFit="1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FECC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-1</xdr:colOff>
      <xdr:row>22</xdr:row>
      <xdr:rowOff>11906</xdr:rowOff>
    </xdr:from>
    <xdr:to>
      <xdr:col>51</xdr:col>
      <xdr:colOff>4763</xdr:colOff>
      <xdr:row>25</xdr:row>
      <xdr:rowOff>9525</xdr:rowOff>
    </xdr:to>
    <xdr:cxnSp macro="">
      <xdr:nvCxnSpPr>
        <xdr:cNvPr id="2" name="直線矢印コネクタ 1">
          <a:extLst>
            <a:ext uri="{FF2B5EF4-FFF2-40B4-BE49-F238E27FC236}">
              <a16:creationId xmlns:a16="http://schemas.microsoft.com/office/drawing/2014/main" id="{B14A3655-8E5E-421A-8D88-55947513C27B}"/>
            </a:ext>
          </a:extLst>
        </xdr:cNvPr>
        <xdr:cNvCxnSpPr/>
      </xdr:nvCxnSpPr>
      <xdr:spPr>
        <a:xfrm>
          <a:off x="7691437" y="7250906"/>
          <a:ext cx="4764" cy="56911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8480D-0D4C-4E07-ACBD-CE6E4A531A7E}">
  <sheetPr codeName="Sheet8"/>
  <dimension ref="B2:AH6"/>
  <sheetViews>
    <sheetView tabSelected="1" workbookViewId="0">
      <selection activeCell="B2" sqref="B2:J6"/>
    </sheetView>
  </sheetViews>
  <sheetFormatPr defaultColWidth="2.625" defaultRowHeight="15" customHeight="1" x14ac:dyDescent="0.4"/>
  <sheetData>
    <row r="2" spans="2:34" ht="15" customHeight="1" x14ac:dyDescent="0.4">
      <c r="B2" s="51" t="s">
        <v>2</v>
      </c>
      <c r="C2" s="51"/>
      <c r="D2" s="51"/>
      <c r="E2" s="51"/>
      <c r="F2" s="51"/>
      <c r="G2" s="51"/>
      <c r="H2" s="51"/>
      <c r="I2" s="51"/>
      <c r="J2" s="51"/>
      <c r="O2" s="52" t="s">
        <v>865</v>
      </c>
      <c r="P2" s="52"/>
      <c r="Q2" s="52"/>
      <c r="R2" s="52"/>
      <c r="S2" s="53">
        <v>218001</v>
      </c>
      <c r="T2" s="53"/>
      <c r="U2" s="53"/>
      <c r="V2" s="53"/>
      <c r="W2" s="53"/>
    </row>
    <row r="3" spans="2:34" ht="15" customHeight="1" x14ac:dyDescent="0.4">
      <c r="B3" s="51"/>
      <c r="C3" s="51"/>
      <c r="D3" s="51"/>
      <c r="E3" s="51"/>
      <c r="F3" s="51"/>
      <c r="G3" s="51"/>
      <c r="H3" s="51"/>
      <c r="I3" s="51"/>
      <c r="J3" s="51"/>
      <c r="O3" s="52" t="s">
        <v>866</v>
      </c>
      <c r="P3" s="52"/>
      <c r="Q3" s="52"/>
      <c r="R3" s="52"/>
      <c r="S3" s="54" t="s">
        <v>5</v>
      </c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</row>
    <row r="4" spans="2:34" ht="15" customHeight="1" x14ac:dyDescent="0.4">
      <c r="B4" s="51"/>
      <c r="C4" s="51"/>
      <c r="D4" s="51"/>
      <c r="E4" s="51"/>
      <c r="F4" s="51"/>
      <c r="G4" s="51"/>
      <c r="H4" s="51"/>
      <c r="I4" s="51"/>
      <c r="J4" s="51"/>
    </row>
    <row r="5" spans="2:34" ht="15" customHeight="1" x14ac:dyDescent="0.4">
      <c r="B5" s="51"/>
      <c r="C5" s="51"/>
      <c r="D5" s="51"/>
      <c r="E5" s="51"/>
      <c r="F5" s="51"/>
      <c r="G5" s="51"/>
      <c r="H5" s="51"/>
      <c r="I5" s="51"/>
      <c r="J5" s="51"/>
    </row>
    <row r="6" spans="2:34" ht="15" customHeight="1" x14ac:dyDescent="0.4">
      <c r="B6" s="51"/>
      <c r="C6" s="51"/>
      <c r="D6" s="51"/>
      <c r="E6" s="51"/>
      <c r="F6" s="51"/>
      <c r="G6" s="51"/>
      <c r="H6" s="51"/>
      <c r="I6" s="51"/>
      <c r="J6" s="51"/>
    </row>
  </sheetData>
  <mergeCells count="5">
    <mergeCell ref="B2:J6"/>
    <mergeCell ref="O2:R2"/>
    <mergeCell ref="O3:R3"/>
    <mergeCell ref="S2:W2"/>
    <mergeCell ref="S3:AH3"/>
  </mergeCells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A084A1-A0F4-4B7F-BA52-3F5697B4F3FB}">
          <x14:formula1>
            <xm:f>OFFSET(setting!$A:$A,1,0,MAX(1, COUNTA(setting!$A:$A)-1), 1)</xm:f>
          </x14:formula1>
          <xm:sqref>S3:AH3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5D975-EA79-4E4E-9426-087079C8A679}">
  <sheetPr codeName="Sheet7"/>
  <dimension ref="B2:AT35"/>
  <sheetViews>
    <sheetView zoomScale="70" zoomScaleNormal="70" workbookViewId="0">
      <selection activeCell="G2" sqref="G2:K2"/>
    </sheetView>
  </sheetViews>
  <sheetFormatPr defaultColWidth="2.625" defaultRowHeight="15" customHeight="1" x14ac:dyDescent="0.4"/>
  <cols>
    <col min="16" max="16" width="2.625" customWidth="1"/>
  </cols>
  <sheetData>
    <row r="2" spans="2:46" ht="15" customHeight="1" x14ac:dyDescent="0.4">
      <c r="B2" s="52" t="s">
        <v>0</v>
      </c>
      <c r="C2" s="52"/>
      <c r="D2" s="52"/>
      <c r="E2" s="52"/>
      <c r="F2" s="52"/>
      <c r="G2" s="56">
        <v>225002</v>
      </c>
      <c r="H2" s="56"/>
      <c r="I2" s="56"/>
      <c r="J2" s="56"/>
      <c r="K2" s="56"/>
    </row>
    <row r="4" spans="2:46" ht="15" customHeight="1" x14ac:dyDescent="0.4">
      <c r="B4" s="52" t="s">
        <v>830</v>
      </c>
      <c r="C4" s="52"/>
      <c r="D4" s="52"/>
      <c r="E4" s="52"/>
      <c r="F4" s="52"/>
      <c r="G4" s="54" t="s">
        <v>5</v>
      </c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46" ht="15" customHeight="1" thickBot="1" x14ac:dyDescent="0.45"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46" ht="15" customHeight="1" thickTop="1" x14ac:dyDescent="0.4">
      <c r="AA6" s="24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</row>
    <row r="7" spans="2:46" ht="15" customHeight="1" x14ac:dyDescent="0.4">
      <c r="B7" s="58" t="s">
        <v>791</v>
      </c>
      <c r="C7" s="58"/>
      <c r="D7" s="58"/>
      <c r="E7" s="58"/>
      <c r="F7" s="58"/>
      <c r="G7" s="58"/>
      <c r="H7" s="58"/>
      <c r="I7" s="58"/>
      <c r="J7" s="58"/>
      <c r="K7" s="58"/>
      <c r="M7" s="52" t="s">
        <v>1</v>
      </c>
      <c r="N7" s="52"/>
      <c r="O7" s="52"/>
      <c r="P7" s="52"/>
      <c r="Q7" s="52"/>
      <c r="R7" s="54" t="s">
        <v>831</v>
      </c>
      <c r="S7" s="54"/>
      <c r="T7" s="54"/>
      <c r="U7" s="54"/>
      <c r="V7" s="54"/>
      <c r="X7" s="77" t="s">
        <v>2</v>
      </c>
      <c r="Y7" s="77"/>
      <c r="Z7" s="77"/>
      <c r="AB7" s="55" t="s">
        <v>861</v>
      </c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</row>
    <row r="8" spans="2:46" ht="15" customHeight="1" x14ac:dyDescent="0.4">
      <c r="B8" s="52" t="s">
        <v>863</v>
      </c>
      <c r="C8" s="52"/>
      <c r="D8" s="52"/>
      <c r="E8" s="52"/>
      <c r="F8" s="52"/>
      <c r="G8" s="56"/>
      <c r="H8" s="56"/>
      <c r="I8" s="56"/>
      <c r="J8" s="56"/>
      <c r="K8" s="56"/>
      <c r="M8" s="52" t="s">
        <v>833</v>
      </c>
      <c r="N8" s="52"/>
      <c r="O8" s="52"/>
      <c r="P8" s="52"/>
      <c r="Q8" s="52"/>
      <c r="R8" s="54" t="s">
        <v>855</v>
      </c>
      <c r="S8" s="54"/>
      <c r="T8" s="54"/>
      <c r="U8" s="54"/>
      <c r="V8" s="54"/>
      <c r="X8" s="77"/>
      <c r="Y8" s="77"/>
      <c r="Z8" s="77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</row>
    <row r="9" spans="2:46" ht="15" customHeight="1" x14ac:dyDescent="0.4">
      <c r="B9" s="52" t="s">
        <v>862</v>
      </c>
      <c r="C9" s="52"/>
      <c r="D9" s="52"/>
      <c r="E9" s="52"/>
      <c r="F9" s="52"/>
      <c r="G9" s="56"/>
      <c r="H9" s="56"/>
      <c r="I9" s="56"/>
      <c r="J9" s="56"/>
      <c r="K9" s="56"/>
      <c r="M9" s="52" t="s">
        <v>815</v>
      </c>
      <c r="N9" s="52"/>
      <c r="O9" s="52"/>
      <c r="P9" s="52"/>
      <c r="Q9" s="52"/>
      <c r="R9" s="54" t="s">
        <v>826</v>
      </c>
      <c r="S9" s="54"/>
      <c r="T9" s="54"/>
      <c r="U9" s="54"/>
      <c r="V9" s="54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</row>
    <row r="10" spans="2:46" ht="15" customHeight="1" x14ac:dyDescent="0.4">
      <c r="B10" s="68" t="s">
        <v>807</v>
      </c>
      <c r="C10" s="68"/>
      <c r="D10" s="68"/>
      <c r="E10" s="68"/>
      <c r="F10" s="68"/>
      <c r="G10" s="68"/>
      <c r="H10" s="68"/>
      <c r="I10" s="68"/>
      <c r="J10" s="68"/>
      <c r="K10" s="68"/>
      <c r="M10" s="52" t="s">
        <v>824</v>
      </c>
      <c r="N10" s="52"/>
      <c r="O10" s="52"/>
      <c r="P10" s="52"/>
      <c r="Q10" s="52"/>
      <c r="R10" s="54" t="s">
        <v>750</v>
      </c>
      <c r="S10" s="54"/>
      <c r="T10" s="54"/>
      <c r="U10" s="54"/>
      <c r="V10" s="54"/>
      <c r="X10" s="77" t="s">
        <v>777</v>
      </c>
      <c r="Y10" s="77"/>
      <c r="Z10" s="77"/>
      <c r="AA10" s="38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</row>
    <row r="11" spans="2:46" ht="15" customHeight="1" x14ac:dyDescent="0.4">
      <c r="B11" s="52" t="s">
        <v>751</v>
      </c>
      <c r="C11" s="52"/>
      <c r="D11" s="52"/>
      <c r="E11" s="52"/>
      <c r="F11" s="52"/>
      <c r="G11" s="56"/>
      <c r="H11" s="56"/>
      <c r="I11" s="56"/>
      <c r="J11" s="56"/>
      <c r="K11" s="56"/>
      <c r="X11" s="77"/>
      <c r="Y11" s="77"/>
      <c r="Z11" s="77"/>
      <c r="AA11" s="38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</row>
    <row r="12" spans="2:46" ht="15" customHeight="1" x14ac:dyDescent="0.4">
      <c r="B12" s="52" t="s">
        <v>779</v>
      </c>
      <c r="C12" s="52"/>
      <c r="D12" s="52"/>
      <c r="E12" s="52"/>
      <c r="F12" s="52"/>
      <c r="G12" s="57" t="s">
        <v>34</v>
      </c>
      <c r="H12" s="57"/>
      <c r="I12" s="57"/>
      <c r="J12" s="57"/>
      <c r="K12" s="57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</row>
    <row r="13" spans="2:46" ht="15" customHeight="1" thickBot="1" x14ac:dyDescent="0.45">
      <c r="AA13" s="23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</row>
    <row r="14" spans="2:46" ht="15" customHeight="1" thickTop="1" x14ac:dyDescent="0.4">
      <c r="B14" s="24"/>
      <c r="C14" s="24"/>
      <c r="D14" s="24"/>
      <c r="E14" s="24"/>
      <c r="F14" s="24"/>
      <c r="G14" s="24"/>
      <c r="H14" s="70" t="s">
        <v>860</v>
      </c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</row>
    <row r="15" spans="2:46" ht="15" customHeight="1" x14ac:dyDescent="0.4">
      <c r="C15" s="59" t="s">
        <v>715</v>
      </c>
      <c r="D15" s="60"/>
      <c r="E15" s="60"/>
      <c r="F15" s="6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2:46" ht="15" customHeight="1" x14ac:dyDescent="0.4">
      <c r="C16" s="62"/>
      <c r="D16" s="63"/>
      <c r="E16" s="63"/>
      <c r="F16" s="64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2:35" ht="15" customHeight="1" thickBot="1" x14ac:dyDescent="0.45">
      <c r="B17" s="23"/>
      <c r="C17" s="23"/>
      <c r="D17" s="23"/>
      <c r="E17" s="23"/>
      <c r="F17" s="23"/>
      <c r="G17" s="23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2:35" ht="15" customHeight="1" thickTop="1" x14ac:dyDescent="0.4"/>
    <row r="19" spans="2:35" ht="15" customHeight="1" x14ac:dyDescent="0.4">
      <c r="C19" s="59" t="s">
        <v>782</v>
      </c>
      <c r="D19" s="60"/>
      <c r="E19" s="60"/>
      <c r="F19" s="61"/>
      <c r="H19" s="54" t="s">
        <v>12</v>
      </c>
      <c r="I19" s="54"/>
      <c r="J19" s="54"/>
      <c r="K19" s="54"/>
      <c r="L19" s="54"/>
      <c r="M19" s="55" t="s">
        <v>800</v>
      </c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C19" s="73" t="s">
        <v>790</v>
      </c>
      <c r="AD19" s="74"/>
      <c r="AE19" s="74"/>
      <c r="AF19" s="74"/>
      <c r="AG19" s="74"/>
      <c r="AH19" s="74"/>
      <c r="AI19" s="75"/>
    </row>
    <row r="20" spans="2:35" ht="15" customHeight="1" x14ac:dyDescent="0.4">
      <c r="C20" s="62"/>
      <c r="D20" s="63"/>
      <c r="E20" s="63"/>
      <c r="F20" s="64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C20" s="26"/>
      <c r="AI20" s="27"/>
    </row>
    <row r="21" spans="2:35" ht="15" customHeight="1" thickBot="1" x14ac:dyDescent="0.45">
      <c r="B21" s="23"/>
      <c r="C21" s="25"/>
      <c r="D21" s="25"/>
      <c r="E21" s="25"/>
      <c r="F21" s="25"/>
      <c r="G21" s="23"/>
      <c r="H21" s="23"/>
      <c r="I21" s="23"/>
      <c r="J21" s="23"/>
      <c r="K21" s="23"/>
      <c r="L21" s="23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C21" s="28"/>
      <c r="AD21" s="29"/>
      <c r="AE21" t="s">
        <v>786</v>
      </c>
      <c r="AF21" s="68" t="s">
        <v>787</v>
      </c>
      <c r="AG21" s="68"/>
      <c r="AH21" s="68"/>
      <c r="AI21" s="69"/>
    </row>
    <row r="22" spans="2:35" ht="15" customHeight="1" thickTop="1" x14ac:dyDescent="0.4">
      <c r="H22" s="55" t="s">
        <v>799</v>
      </c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45"/>
      <c r="AC22" s="26"/>
      <c r="AI22" s="27"/>
    </row>
    <row r="23" spans="2:35" ht="15" customHeight="1" x14ac:dyDescent="0.4">
      <c r="C23" s="59" t="s">
        <v>816</v>
      </c>
      <c r="D23" s="60"/>
      <c r="E23" s="60"/>
      <c r="F23" s="61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45"/>
      <c r="AC23" s="30"/>
      <c r="AD23" s="31"/>
      <c r="AE23" t="s">
        <v>786</v>
      </c>
      <c r="AF23" s="68" t="s">
        <v>788</v>
      </c>
      <c r="AG23" s="68"/>
      <c r="AH23" s="68"/>
      <c r="AI23" s="69"/>
    </row>
    <row r="24" spans="2:35" ht="15" customHeight="1" x14ac:dyDescent="0.4">
      <c r="C24" s="62"/>
      <c r="D24" s="63"/>
      <c r="E24" s="63"/>
      <c r="F24" s="64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45"/>
      <c r="AC24" s="26"/>
      <c r="AI24" s="27"/>
    </row>
    <row r="25" spans="2:35" ht="15" customHeight="1" thickBot="1" x14ac:dyDescent="0.45">
      <c r="B25" s="37"/>
      <c r="C25" s="37"/>
      <c r="D25" s="37"/>
      <c r="E25" s="37"/>
      <c r="F25" s="37"/>
      <c r="G25" s="37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44"/>
      <c r="AC25" s="33"/>
      <c r="AD25" s="34"/>
      <c r="AE25" t="s">
        <v>786</v>
      </c>
      <c r="AF25" s="68" t="s">
        <v>789</v>
      </c>
      <c r="AG25" s="68"/>
      <c r="AH25" s="68"/>
      <c r="AI25" s="69"/>
    </row>
    <row r="26" spans="2:35" ht="15" customHeight="1" x14ac:dyDescent="0.4"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65" t="s">
        <v>859</v>
      </c>
      <c r="T26" s="65"/>
      <c r="U26" s="65"/>
      <c r="V26" s="65"/>
      <c r="W26" s="65"/>
      <c r="X26" s="65"/>
      <c r="Y26" s="65"/>
      <c r="Z26" s="65"/>
      <c r="AA26" s="65"/>
      <c r="AC26" s="35"/>
      <c r="AD26" s="32"/>
      <c r="AE26" s="32"/>
      <c r="AF26" s="32"/>
      <c r="AG26" s="32"/>
      <c r="AH26" s="32"/>
      <c r="AI26" s="36"/>
    </row>
    <row r="27" spans="2:35" ht="15" customHeight="1" x14ac:dyDescent="0.4">
      <c r="C27" s="59" t="s">
        <v>806</v>
      </c>
      <c r="D27" s="60"/>
      <c r="E27" s="60"/>
      <c r="F27" s="61"/>
      <c r="H27" s="52" t="s">
        <v>815</v>
      </c>
      <c r="I27" s="52"/>
      <c r="J27" s="52"/>
      <c r="K27" s="52"/>
      <c r="L27" s="52"/>
      <c r="M27" s="54" t="s">
        <v>812</v>
      </c>
      <c r="N27" s="54"/>
      <c r="O27" s="54"/>
      <c r="P27" s="54"/>
      <c r="Q27" s="54"/>
      <c r="S27" s="55"/>
      <c r="T27" s="55"/>
      <c r="U27" s="55"/>
      <c r="V27" s="55"/>
      <c r="W27" s="55"/>
      <c r="X27" s="55"/>
      <c r="Y27" s="55"/>
      <c r="Z27" s="55"/>
      <c r="AA27" s="55"/>
    </row>
    <row r="28" spans="2:35" ht="15" customHeight="1" x14ac:dyDescent="0.4">
      <c r="C28" s="62"/>
      <c r="D28" s="63"/>
      <c r="E28" s="63"/>
      <c r="F28" s="64"/>
      <c r="H28" s="52" t="s">
        <v>827</v>
      </c>
      <c r="I28" s="52"/>
      <c r="J28" s="52"/>
      <c r="K28" s="52"/>
      <c r="L28" s="52"/>
      <c r="M28" s="56">
        <v>20240101</v>
      </c>
      <c r="N28" s="56"/>
      <c r="O28" s="56"/>
      <c r="P28" s="56"/>
      <c r="Q28" s="56"/>
      <c r="S28" s="55"/>
      <c r="T28" s="55"/>
      <c r="U28" s="55"/>
      <c r="V28" s="55"/>
      <c r="W28" s="55"/>
      <c r="X28" s="55"/>
      <c r="Y28" s="55"/>
      <c r="Z28" s="55"/>
      <c r="AA28" s="55"/>
      <c r="AC28" s="39"/>
      <c r="AD28" s="39"/>
      <c r="AE28" s="39"/>
      <c r="AF28" s="39"/>
      <c r="AG28" s="39"/>
      <c r="AH28" s="39"/>
      <c r="AI28" s="39"/>
    </row>
    <row r="29" spans="2:35" ht="15" customHeight="1" x14ac:dyDescent="0.4">
      <c r="C29" s="43"/>
      <c r="D29" s="43"/>
      <c r="E29" s="43"/>
      <c r="F29" s="43"/>
      <c r="H29" s="52" t="s">
        <v>828</v>
      </c>
      <c r="I29" s="52"/>
      <c r="J29" s="52"/>
      <c r="K29" s="52"/>
      <c r="L29" s="52"/>
      <c r="M29" s="56">
        <v>20240415</v>
      </c>
      <c r="N29" s="56"/>
      <c r="O29" s="56"/>
      <c r="P29" s="56"/>
      <c r="Q29" s="56"/>
      <c r="S29" s="55"/>
      <c r="T29" s="55"/>
      <c r="U29" s="55"/>
      <c r="V29" s="55"/>
      <c r="W29" s="55"/>
      <c r="X29" s="55"/>
      <c r="Y29" s="55"/>
      <c r="Z29" s="55"/>
      <c r="AA29" s="55"/>
      <c r="AC29" s="39"/>
      <c r="AD29" s="39"/>
      <c r="AE29" s="39"/>
      <c r="AF29" s="39"/>
      <c r="AG29" s="39"/>
      <c r="AH29" s="39"/>
      <c r="AI29" s="39"/>
    </row>
    <row r="30" spans="2:35" ht="15" customHeight="1" x14ac:dyDescent="0.4">
      <c r="H30" s="52" t="s">
        <v>749</v>
      </c>
      <c r="I30" s="52"/>
      <c r="J30" s="52"/>
      <c r="K30" s="52"/>
      <c r="L30" s="52"/>
      <c r="M30" s="54" t="s">
        <v>747</v>
      </c>
      <c r="N30" s="54"/>
      <c r="O30" s="54"/>
      <c r="P30" s="54"/>
      <c r="Q30" s="54"/>
      <c r="S30" s="55"/>
      <c r="T30" s="55"/>
      <c r="U30" s="55"/>
      <c r="V30" s="55"/>
      <c r="W30" s="55"/>
      <c r="X30" s="55"/>
      <c r="Y30" s="55"/>
      <c r="Z30" s="55"/>
      <c r="AA30" s="55"/>
    </row>
    <row r="31" spans="2:35" ht="15" customHeight="1" x14ac:dyDescent="0.4">
      <c r="C31" s="1"/>
      <c r="D31" s="1"/>
      <c r="E31" s="1"/>
      <c r="F31" s="1"/>
      <c r="H31" s="67" t="s">
        <v>858</v>
      </c>
      <c r="I31" s="67"/>
      <c r="J31" s="67"/>
      <c r="K31" s="67"/>
      <c r="L31" s="67"/>
      <c r="M31" s="67"/>
      <c r="N31" s="67"/>
      <c r="O31" s="67"/>
      <c r="P31" s="67"/>
      <c r="Q31" s="67"/>
      <c r="S31" s="55"/>
      <c r="T31" s="55"/>
      <c r="U31" s="55"/>
      <c r="V31" s="55"/>
      <c r="W31" s="55"/>
      <c r="X31" s="55"/>
      <c r="Y31" s="55"/>
      <c r="Z31" s="55"/>
      <c r="AA31" s="55"/>
    </row>
    <row r="32" spans="2:35" ht="15" customHeight="1" thickBot="1" x14ac:dyDescent="0.45"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66"/>
      <c r="T32" s="66"/>
      <c r="U32" s="66"/>
      <c r="V32" s="66"/>
      <c r="W32" s="66"/>
      <c r="X32" s="66"/>
      <c r="Y32" s="66"/>
      <c r="Z32" s="66"/>
      <c r="AA32" s="66"/>
    </row>
    <row r="33" spans="28:37" ht="15" customHeight="1" x14ac:dyDescent="0.4">
      <c r="AJ33" s="39"/>
      <c r="AK33" s="39"/>
    </row>
    <row r="34" spans="28:37" ht="15" customHeight="1" x14ac:dyDescent="0.4">
      <c r="AB34" s="39"/>
      <c r="AJ34" s="39"/>
      <c r="AK34" s="39"/>
    </row>
    <row r="35" spans="28:37" ht="15" customHeight="1" x14ac:dyDescent="0.4">
      <c r="AB35" s="39"/>
    </row>
  </sheetData>
  <mergeCells count="47">
    <mergeCell ref="M7:Q7"/>
    <mergeCell ref="R7:V7"/>
    <mergeCell ref="X7:Z8"/>
    <mergeCell ref="B10:K10"/>
    <mergeCell ref="M8:Q8"/>
    <mergeCell ref="R8:V8"/>
    <mergeCell ref="B8:F8"/>
    <mergeCell ref="G8:K8"/>
    <mergeCell ref="X10:Z11"/>
    <mergeCell ref="AF25:AI25"/>
    <mergeCell ref="H14:Z17"/>
    <mergeCell ref="C15:F16"/>
    <mergeCell ref="AC19:AI19"/>
    <mergeCell ref="AF21:AI21"/>
    <mergeCell ref="AF23:AI23"/>
    <mergeCell ref="C19:F20"/>
    <mergeCell ref="H19:L19"/>
    <mergeCell ref="M19:Z21"/>
    <mergeCell ref="H30:L30"/>
    <mergeCell ref="M30:Q30"/>
    <mergeCell ref="C23:F24"/>
    <mergeCell ref="S26:AA32"/>
    <mergeCell ref="C27:F28"/>
    <mergeCell ref="H27:L27"/>
    <mergeCell ref="M27:Q27"/>
    <mergeCell ref="H28:L28"/>
    <mergeCell ref="M28:Q28"/>
    <mergeCell ref="H29:L29"/>
    <mergeCell ref="M29:Q29"/>
    <mergeCell ref="H22:Z25"/>
    <mergeCell ref="H31:Q31"/>
    <mergeCell ref="AB7:AT12"/>
    <mergeCell ref="B2:F2"/>
    <mergeCell ref="G2:K2"/>
    <mergeCell ref="B4:F4"/>
    <mergeCell ref="G4:V4"/>
    <mergeCell ref="B12:F12"/>
    <mergeCell ref="G12:K12"/>
    <mergeCell ref="M9:Q9"/>
    <mergeCell ref="R9:V9"/>
    <mergeCell ref="M10:Q10"/>
    <mergeCell ref="R10:V10"/>
    <mergeCell ref="B11:F11"/>
    <mergeCell ref="G11:K11"/>
    <mergeCell ref="B9:F9"/>
    <mergeCell ref="G9:K9"/>
    <mergeCell ref="B7:K7"/>
  </mergeCells>
  <phoneticPr fontId="1"/>
  <dataValidations count="3">
    <dataValidation imeMode="off" allowBlank="1" showInputMessage="1" showErrorMessage="1" sqref="G12:K12" xr:uid="{265A800B-D964-402C-9002-037527BC0600}"/>
    <dataValidation type="whole" imeMode="off" allowBlank="1" showInputMessage="1" showErrorMessage="1" sqref="G8:K9 M28:Q29" xr:uid="{D7526C96-5266-414B-AC46-5DAE37FD3A90}">
      <formula1>20000101</formula1>
      <formula2>99999999</formula2>
    </dataValidation>
    <dataValidation type="whole" imeMode="off" allowBlank="1" showInputMessage="1" showErrorMessage="1" sqref="G11:K11 G2:K2" xr:uid="{047B1224-CDC9-4680-8164-71BCF61DCC0C}">
      <formula1>150000</formula1>
      <formula2>999999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AB05DC0-B80F-4353-9B23-66FB70A486A8}">
          <x14:formula1>
            <xm:f>setting!$Z$2:$Z$3</xm:f>
          </x14:formula1>
          <xm:sqref>M30:Q30</xm:sqref>
        </x14:dataValidation>
        <x14:dataValidation type="list" allowBlank="1" showInputMessage="1" showErrorMessage="1" xr:uid="{6DF0ECA1-F74E-4D7B-AEA5-DFA29567D00E}">
          <x14:formula1>
            <xm:f>setting!$B$2:$B$3</xm:f>
          </x14:formula1>
          <xm:sqref>R7:V7 H19:L19</xm:sqref>
        </x14:dataValidation>
        <x14:dataValidation type="list" allowBlank="1" showInputMessage="1" showErrorMessage="1" xr:uid="{0E2B02C9-B974-4E85-A982-D3903A7FB996}">
          <x14:formula1>
            <xm:f>setting!$Z$2:$Z$4</xm:f>
          </x14:formula1>
          <xm:sqref>R8:V8</xm:sqref>
        </x14:dataValidation>
        <x14:dataValidation type="list" allowBlank="1" showInputMessage="1" showErrorMessage="1" xr:uid="{E69DC8AB-B09D-4AFD-BDCC-6DAD8C45E444}">
          <x14:formula1>
            <xm:f>OFFSET(setting!$AF:$AF,1,0,MAX(1, COUNTA(setting!$AF:$AF)-1), 1)</xm:f>
          </x14:formula1>
          <xm:sqref>M27:Q27 R9:V9</xm:sqref>
        </x14:dataValidation>
        <x14:dataValidation type="list" allowBlank="1" showInputMessage="1" showErrorMessage="1" xr:uid="{31944E2C-D453-4A75-8B15-8796933BAF20}">
          <x14:formula1>
            <xm:f>OFFSET(setting!$D:$D,1,0,MAX(1, COUNTA(setting!$D:$D)-1), 1)</xm:f>
          </x14:formula1>
          <xm:sqref>R10:V10</xm:sqref>
        </x14:dataValidation>
        <x14:dataValidation type="list" allowBlank="1" showInputMessage="1" showErrorMessage="1" xr:uid="{96FDC2F4-8EF4-45D9-9EA9-486FD5E73438}">
          <x14:formula1>
            <xm:f>OFFSET(setting!$A:$A,1,0,MAX(1, COUNTA(setting!$A:$A)-1), 1)</xm:f>
          </x14:formula1>
          <xm:sqref>G4:V4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39A71-B642-4324-A4FC-31896EE4B79D}">
  <sheetPr codeName="Sheet1"/>
  <dimension ref="B2:BK50"/>
  <sheetViews>
    <sheetView topLeftCell="A19" zoomScale="80" zoomScaleNormal="80" workbookViewId="0">
      <selection activeCell="G2" sqref="G2:K2"/>
    </sheetView>
  </sheetViews>
  <sheetFormatPr defaultColWidth="2.625" defaultRowHeight="15" customHeight="1" x14ac:dyDescent="0.4"/>
  <cols>
    <col min="16" max="16" width="2.625" customWidth="1"/>
    <col min="42" max="63" width="2.625" hidden="1" customWidth="1"/>
  </cols>
  <sheetData>
    <row r="2" spans="2:63" ht="15" customHeight="1" thickBot="1" x14ac:dyDescent="0.45">
      <c r="C2" s="108" t="s">
        <v>784</v>
      </c>
      <c r="D2" s="108"/>
      <c r="E2" s="108"/>
      <c r="F2" s="108"/>
      <c r="G2" s="108"/>
      <c r="H2" s="108"/>
      <c r="J2" s="109" t="s">
        <v>679</v>
      </c>
      <c r="K2" s="109"/>
      <c r="L2" s="109"/>
      <c r="M2" s="109"/>
      <c r="O2" s="109" t="s">
        <v>678</v>
      </c>
      <c r="P2" s="109"/>
      <c r="Q2" s="109"/>
      <c r="R2" s="109"/>
      <c r="T2" s="59" t="s">
        <v>748</v>
      </c>
      <c r="U2" s="60"/>
      <c r="V2" s="60"/>
      <c r="W2" s="61"/>
      <c r="X2" s="26"/>
      <c r="AC2" s="73" t="s">
        <v>790</v>
      </c>
      <c r="AD2" s="74"/>
      <c r="AE2" s="74"/>
      <c r="AF2" s="74"/>
      <c r="AG2" s="74"/>
      <c r="AH2" s="74"/>
      <c r="AI2" s="75"/>
      <c r="AJ2" s="1"/>
      <c r="AK2" s="1"/>
      <c r="AL2" s="1"/>
      <c r="AM2" s="1"/>
      <c r="AN2" s="1"/>
      <c r="AO2" s="1"/>
    </row>
    <row r="3" spans="2:63" ht="15" customHeight="1" thickBot="1" x14ac:dyDescent="0.45">
      <c r="B3" s="16" t="s">
        <v>838</v>
      </c>
      <c r="C3" s="46" t="s">
        <v>754</v>
      </c>
      <c r="D3" s="17" t="s">
        <v>755</v>
      </c>
      <c r="E3" s="17" t="s">
        <v>764</v>
      </c>
      <c r="F3" s="17" t="s">
        <v>756</v>
      </c>
      <c r="G3" s="17" t="s">
        <v>757</v>
      </c>
      <c r="H3" s="19" t="s">
        <v>765</v>
      </c>
      <c r="J3" s="109"/>
      <c r="K3" s="109"/>
      <c r="L3" s="109"/>
      <c r="M3" s="109"/>
      <c r="O3" s="109"/>
      <c r="P3" s="109"/>
      <c r="Q3" s="109"/>
      <c r="R3" s="109"/>
      <c r="T3" s="62"/>
      <c r="U3" s="63"/>
      <c r="V3" s="63"/>
      <c r="W3" s="64"/>
      <c r="AC3" s="26"/>
      <c r="AI3" s="27"/>
    </row>
    <row r="4" spans="2:63" ht="15" customHeight="1" thickBot="1" x14ac:dyDescent="0.45">
      <c r="B4" s="48">
        <v>1</v>
      </c>
      <c r="C4" s="47">
        <v>1</v>
      </c>
      <c r="D4" s="18">
        <v>1</v>
      </c>
      <c r="E4" s="18">
        <v>0</v>
      </c>
      <c r="F4" s="18">
        <v>0</v>
      </c>
      <c r="G4" s="18">
        <v>0</v>
      </c>
      <c r="H4" s="20">
        <v>0</v>
      </c>
      <c r="AC4" s="28"/>
      <c r="AD4" s="29"/>
      <c r="AE4" t="s">
        <v>786</v>
      </c>
      <c r="AF4" s="68" t="s">
        <v>787</v>
      </c>
      <c r="AG4" s="68"/>
      <c r="AH4" s="68"/>
      <c r="AI4" s="69"/>
      <c r="AJ4" s="1"/>
      <c r="AK4" s="1"/>
      <c r="AL4" s="1"/>
      <c r="AM4" s="1"/>
      <c r="AN4" s="1"/>
      <c r="AO4" s="1"/>
    </row>
    <row r="5" spans="2:63" ht="15" customHeight="1" x14ac:dyDescent="0.4">
      <c r="J5" s="109" t="s">
        <v>783</v>
      </c>
      <c r="K5" s="109"/>
      <c r="L5" s="109"/>
      <c r="M5" s="109"/>
      <c r="O5" s="109" t="s">
        <v>680</v>
      </c>
      <c r="P5" s="109"/>
      <c r="Q5" s="109"/>
      <c r="R5" s="109"/>
      <c r="S5" s="21"/>
      <c r="T5" s="109" t="s">
        <v>681</v>
      </c>
      <c r="U5" s="109"/>
      <c r="V5" s="109"/>
      <c r="W5" s="109"/>
      <c r="AC5" s="26"/>
      <c r="AI5" s="27"/>
    </row>
    <row r="6" spans="2:63" ht="15" customHeight="1" x14ac:dyDescent="0.4">
      <c r="J6" s="109"/>
      <c r="K6" s="109"/>
      <c r="L6" s="109"/>
      <c r="M6" s="109"/>
      <c r="O6" s="109"/>
      <c r="P6" s="109"/>
      <c r="Q6" s="109"/>
      <c r="R6" s="109"/>
      <c r="S6" s="21"/>
      <c r="T6" s="109"/>
      <c r="U6" s="109"/>
      <c r="V6" s="109"/>
      <c r="W6" s="109"/>
      <c r="AC6" s="30"/>
      <c r="AD6" s="31"/>
      <c r="AE6" t="s">
        <v>786</v>
      </c>
      <c r="AF6" s="68" t="s">
        <v>788</v>
      </c>
      <c r="AG6" s="68"/>
      <c r="AH6" s="68"/>
      <c r="AI6" s="69"/>
      <c r="AJ6" s="1"/>
      <c r="AK6" s="1"/>
      <c r="AL6" s="1"/>
      <c r="AM6" s="1"/>
      <c r="AN6" s="1"/>
      <c r="AO6" s="1"/>
    </row>
    <row r="7" spans="2:63" ht="15" customHeight="1" thickBot="1" x14ac:dyDescent="0.45"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C7" s="26"/>
      <c r="AI7" s="27"/>
    </row>
    <row r="8" spans="2:63" ht="15" customHeight="1" x14ac:dyDescent="0.4">
      <c r="AC8" s="33"/>
      <c r="AD8" s="34"/>
      <c r="AE8" t="s">
        <v>786</v>
      </c>
      <c r="AF8" s="68" t="s">
        <v>789</v>
      </c>
      <c r="AG8" s="68"/>
      <c r="AH8" s="68"/>
      <c r="AI8" s="69"/>
      <c r="AJ8" s="1"/>
      <c r="AK8" s="1"/>
      <c r="AL8" s="1"/>
      <c r="AM8" s="1"/>
      <c r="AN8" s="1"/>
      <c r="AO8" s="1"/>
    </row>
    <row r="9" spans="2:63" ht="15" customHeight="1" x14ac:dyDescent="0.4">
      <c r="C9" s="109" t="s">
        <v>805</v>
      </c>
      <c r="D9" s="109"/>
      <c r="E9" s="109"/>
      <c r="F9" s="109"/>
      <c r="H9" s="54" t="s">
        <v>12</v>
      </c>
      <c r="I9" s="54"/>
      <c r="J9" s="54"/>
      <c r="K9" s="54"/>
      <c r="L9" s="54"/>
      <c r="M9" s="55" t="s">
        <v>802</v>
      </c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C9" s="35"/>
      <c r="AD9" s="32"/>
      <c r="AE9" s="32"/>
      <c r="AF9" s="32"/>
      <c r="AG9" s="32"/>
      <c r="AH9" s="32"/>
      <c r="AI9" s="36"/>
    </row>
    <row r="10" spans="2:63" ht="15" customHeight="1" x14ac:dyDescent="0.4">
      <c r="C10" s="109"/>
      <c r="D10" s="109"/>
      <c r="E10" s="109"/>
      <c r="F10" s="109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P10" s="78" t="s">
        <v>839</v>
      </c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80"/>
    </row>
    <row r="11" spans="2:63" ht="15" customHeight="1" thickBot="1" x14ac:dyDescent="0.45"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  <c r="Z11" s="104"/>
      <c r="AP11" s="81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3"/>
    </row>
    <row r="12" spans="2:63" ht="15" customHeight="1" thickTop="1" x14ac:dyDescent="0.4">
      <c r="B12" s="24"/>
      <c r="C12" s="24"/>
      <c r="D12" s="24"/>
      <c r="E12" s="24"/>
      <c r="F12" s="24"/>
      <c r="G12" s="24"/>
      <c r="H12" s="70" t="s">
        <v>785</v>
      </c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P12" s="81"/>
      <c r="AQ12" s="82"/>
      <c r="AR12" s="82"/>
      <c r="AS12" s="82"/>
      <c r="AT12" s="82"/>
      <c r="AU12" s="82"/>
      <c r="AV12" s="82"/>
      <c r="AW12" s="82"/>
      <c r="AX12" s="82"/>
      <c r="AY12" s="82"/>
      <c r="AZ12" s="82"/>
      <c r="BA12" s="82"/>
      <c r="BB12" s="82"/>
      <c r="BC12" s="82"/>
      <c r="BD12" s="82"/>
      <c r="BE12" s="82"/>
      <c r="BF12" s="82"/>
      <c r="BG12" s="82"/>
      <c r="BH12" s="82"/>
      <c r="BI12" s="82"/>
      <c r="BJ12" s="82"/>
      <c r="BK12" s="83"/>
    </row>
    <row r="13" spans="2:63" ht="15" customHeight="1" x14ac:dyDescent="0.4">
      <c r="C13" s="59" t="s">
        <v>715</v>
      </c>
      <c r="D13" s="60"/>
      <c r="E13" s="60"/>
      <c r="F13" s="6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P13" s="81"/>
      <c r="AQ13" s="82"/>
      <c r="AR13" s="82"/>
      <c r="AS13" s="82"/>
      <c r="AT13" s="82"/>
      <c r="AU13" s="82"/>
      <c r="AV13" s="82"/>
      <c r="AW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  <c r="BI13" s="82"/>
      <c r="BJ13" s="82"/>
      <c r="BK13" s="83"/>
    </row>
    <row r="14" spans="2:63" ht="15" customHeight="1" x14ac:dyDescent="0.4">
      <c r="C14" s="62"/>
      <c r="D14" s="63"/>
      <c r="E14" s="63"/>
      <c r="F14" s="64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81"/>
      <c r="AQ14" s="82"/>
      <c r="AR14" s="82"/>
      <c r="AS14" s="82"/>
      <c r="AT14" s="82"/>
      <c r="AU14" s="82"/>
      <c r="AV14" s="82"/>
      <c r="AW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3"/>
    </row>
    <row r="15" spans="2:63" ht="15" customHeight="1" thickBot="1" x14ac:dyDescent="0.45">
      <c r="B15" s="23"/>
      <c r="C15" s="23"/>
      <c r="D15" s="23"/>
      <c r="E15" s="23"/>
      <c r="F15" s="23"/>
      <c r="G15" s="23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81"/>
      <c r="AQ15" s="82"/>
      <c r="AR15" s="82"/>
      <c r="AS15" s="82"/>
      <c r="AT15" s="82"/>
      <c r="AU15" s="82"/>
      <c r="AV15" s="82"/>
      <c r="AW15" s="82"/>
      <c r="AX15" s="82"/>
      <c r="AY15" s="82"/>
      <c r="AZ15" s="82"/>
      <c r="BA15" s="82"/>
      <c r="BB15" s="82"/>
      <c r="BC15" s="82"/>
      <c r="BD15" s="82"/>
      <c r="BE15" s="82"/>
      <c r="BF15" s="82"/>
      <c r="BG15" s="82"/>
      <c r="BH15" s="82"/>
      <c r="BI15" s="82"/>
      <c r="BJ15" s="82"/>
      <c r="BK15" s="83"/>
    </row>
    <row r="16" spans="2:63" ht="15" customHeight="1" thickTop="1" x14ac:dyDescent="0.4">
      <c r="AP16" s="81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2"/>
      <c r="BG16" s="82"/>
      <c r="BH16" s="82"/>
      <c r="BI16" s="82"/>
      <c r="BJ16" s="82"/>
      <c r="BK16" s="83"/>
    </row>
    <row r="17" spans="2:63" ht="15" customHeight="1" x14ac:dyDescent="0.4">
      <c r="C17" s="59" t="s">
        <v>782</v>
      </c>
      <c r="D17" s="60"/>
      <c r="E17" s="60"/>
      <c r="F17" s="61"/>
      <c r="H17" s="54" t="s">
        <v>12</v>
      </c>
      <c r="I17" s="54"/>
      <c r="J17" s="54"/>
      <c r="K17" s="54"/>
      <c r="L17" s="54"/>
      <c r="M17" s="55" t="s">
        <v>800</v>
      </c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P17" s="81"/>
      <c r="AQ17" s="82"/>
      <c r="AR17" s="82"/>
      <c r="AS17" s="82"/>
      <c r="AT17" s="82"/>
      <c r="AU17" s="82"/>
      <c r="AV17" s="82"/>
      <c r="AW17" s="82"/>
      <c r="AX17" s="82"/>
      <c r="AY17" s="82"/>
      <c r="AZ17" s="82"/>
      <c r="BA17" s="82"/>
      <c r="BB17" s="82"/>
      <c r="BC17" s="82"/>
      <c r="BD17" s="82"/>
      <c r="BE17" s="82"/>
      <c r="BF17" s="82"/>
      <c r="BG17" s="82"/>
      <c r="BH17" s="82"/>
      <c r="BI17" s="82"/>
      <c r="BJ17" s="82"/>
      <c r="BK17" s="83"/>
    </row>
    <row r="18" spans="2:63" ht="15" customHeight="1" x14ac:dyDescent="0.4">
      <c r="C18" s="62"/>
      <c r="D18" s="63"/>
      <c r="E18" s="63"/>
      <c r="F18" s="64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P18" s="81"/>
      <c r="AQ18" s="82"/>
      <c r="AR18" s="82"/>
      <c r="AS18" s="82"/>
      <c r="AT18" s="82"/>
      <c r="AU18" s="82"/>
      <c r="AV18" s="82"/>
      <c r="AW18" s="82"/>
      <c r="AX18" s="82"/>
      <c r="AY18" s="82"/>
      <c r="AZ18" s="82"/>
      <c r="BA18" s="82"/>
      <c r="BB18" s="82"/>
      <c r="BC18" s="82"/>
      <c r="BD18" s="82"/>
      <c r="BE18" s="82"/>
      <c r="BF18" s="82"/>
      <c r="BG18" s="82"/>
      <c r="BH18" s="82"/>
      <c r="BI18" s="82"/>
      <c r="BJ18" s="82"/>
      <c r="BK18" s="83"/>
    </row>
    <row r="19" spans="2:63" ht="15" customHeight="1" thickBot="1" x14ac:dyDescent="0.45">
      <c r="B19" s="23"/>
      <c r="C19" s="25"/>
      <c r="D19" s="25"/>
      <c r="E19" s="25"/>
      <c r="F19" s="25"/>
      <c r="G19" s="23"/>
      <c r="H19" s="23"/>
      <c r="I19" s="23"/>
      <c r="J19" s="23"/>
      <c r="K19" s="23"/>
      <c r="L19" s="23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P19" s="81"/>
      <c r="AQ19" s="82"/>
      <c r="AR19" s="82"/>
      <c r="AS19" s="82"/>
      <c r="AT19" s="82"/>
      <c r="AU19" s="82"/>
      <c r="AV19" s="82"/>
      <c r="AW19" s="82"/>
      <c r="AX19" s="82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3"/>
    </row>
    <row r="20" spans="2:63" ht="15" customHeight="1" thickTop="1" x14ac:dyDescent="0.4">
      <c r="AP20" s="81"/>
      <c r="AQ20" s="82"/>
      <c r="AR20" s="82"/>
      <c r="AS20" s="82"/>
      <c r="AT20" s="82"/>
      <c r="AU20" s="82"/>
      <c r="AV20" s="82"/>
      <c r="AW20" s="82"/>
      <c r="AX20" s="82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3"/>
    </row>
    <row r="21" spans="2:63" ht="15" customHeight="1" x14ac:dyDescent="0.4">
      <c r="B21" s="52" t="s">
        <v>1</v>
      </c>
      <c r="C21" s="52"/>
      <c r="D21" s="52"/>
      <c r="E21" s="52"/>
      <c r="F21" s="52"/>
      <c r="G21" s="54" t="s">
        <v>12</v>
      </c>
      <c r="H21" s="54"/>
      <c r="I21" s="54"/>
      <c r="J21" s="54"/>
      <c r="K21" s="54"/>
      <c r="M21" s="52" t="s">
        <v>685</v>
      </c>
      <c r="N21" s="52"/>
      <c r="O21" s="52"/>
      <c r="P21" s="52"/>
      <c r="Q21" s="52"/>
      <c r="R21" s="54" t="s">
        <v>27</v>
      </c>
      <c r="S21" s="54"/>
      <c r="T21" s="54"/>
      <c r="U21" s="54"/>
      <c r="V21" s="54"/>
      <c r="X21" s="77" t="s">
        <v>2</v>
      </c>
      <c r="Y21" s="77"/>
      <c r="Z21" s="77"/>
      <c r="AP21" s="81"/>
      <c r="AQ21" s="82"/>
      <c r="AR21" s="82"/>
      <c r="AS21" s="82"/>
      <c r="AT21" s="82"/>
      <c r="AU21" s="82"/>
      <c r="AV21" s="82"/>
      <c r="AW21" s="82"/>
      <c r="AX21" s="82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3"/>
    </row>
    <row r="22" spans="2:63" ht="15" customHeight="1" x14ac:dyDescent="0.4">
      <c r="M22" s="73" t="s">
        <v>741</v>
      </c>
      <c r="N22" s="74"/>
      <c r="O22" s="74"/>
      <c r="P22" s="74"/>
      <c r="Q22" s="75"/>
      <c r="R22" s="105" t="s">
        <v>778</v>
      </c>
      <c r="S22" s="106"/>
      <c r="T22" s="106"/>
      <c r="U22" s="106"/>
      <c r="V22" s="107"/>
      <c r="X22" s="77"/>
      <c r="Y22" s="77"/>
      <c r="Z22" s="77"/>
      <c r="AP22" s="84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6"/>
    </row>
    <row r="23" spans="2:63" ht="15" customHeight="1" x14ac:dyDescent="0.4">
      <c r="B23" s="58" t="s">
        <v>791</v>
      </c>
      <c r="C23" s="58"/>
      <c r="D23" s="58"/>
      <c r="E23" s="58"/>
      <c r="F23" s="58"/>
      <c r="G23" s="58"/>
      <c r="H23" s="58"/>
      <c r="I23" s="58"/>
      <c r="J23" s="58"/>
      <c r="K23" s="58"/>
      <c r="M23" s="73" t="s">
        <v>742</v>
      </c>
      <c r="N23" s="74"/>
      <c r="O23" s="74"/>
      <c r="P23" s="74"/>
      <c r="Q23" s="75"/>
      <c r="R23" s="105" t="s">
        <v>778</v>
      </c>
      <c r="S23" s="106"/>
      <c r="T23" s="106"/>
      <c r="U23" s="106"/>
      <c r="V23" s="107"/>
    </row>
    <row r="24" spans="2:63" ht="15" customHeight="1" x14ac:dyDescent="0.4">
      <c r="B24" s="52" t="s">
        <v>863</v>
      </c>
      <c r="C24" s="52"/>
      <c r="D24" s="52"/>
      <c r="E24" s="52"/>
      <c r="F24" s="52"/>
      <c r="G24" s="56"/>
      <c r="H24" s="56"/>
      <c r="I24" s="56"/>
      <c r="J24" s="56"/>
      <c r="K24" s="56"/>
      <c r="M24" s="73" t="s">
        <v>758</v>
      </c>
      <c r="N24" s="74"/>
      <c r="O24" s="74"/>
      <c r="P24" s="74"/>
      <c r="Q24" s="75"/>
      <c r="R24" s="105" t="s">
        <v>778</v>
      </c>
      <c r="S24" s="106"/>
      <c r="T24" s="106"/>
      <c r="U24" s="106"/>
      <c r="V24" s="107"/>
      <c r="X24" s="77" t="s">
        <v>777</v>
      </c>
      <c r="Y24" s="77"/>
      <c r="Z24" s="77"/>
      <c r="AA24" s="38" t="s">
        <v>793</v>
      </c>
      <c r="AB24" s="39"/>
    </row>
    <row r="25" spans="2:63" ht="15" customHeight="1" thickBot="1" x14ac:dyDescent="0.45">
      <c r="B25" s="52" t="s">
        <v>862</v>
      </c>
      <c r="C25" s="52"/>
      <c r="D25" s="52"/>
      <c r="E25" s="52"/>
      <c r="F25" s="52"/>
      <c r="G25" s="56">
        <v>20250401</v>
      </c>
      <c r="H25" s="56"/>
      <c r="I25" s="56"/>
      <c r="J25" s="56"/>
      <c r="K25" s="56"/>
      <c r="M25" s="52" t="s">
        <v>780</v>
      </c>
      <c r="N25" s="52"/>
      <c r="O25" s="52"/>
      <c r="P25" s="52"/>
      <c r="Q25" s="52"/>
      <c r="R25" s="54" t="s">
        <v>854</v>
      </c>
      <c r="S25" s="54"/>
      <c r="T25" s="54"/>
      <c r="U25" s="54"/>
      <c r="V25" s="54"/>
      <c r="X25" s="77"/>
      <c r="Y25" s="77"/>
      <c r="Z25" s="77"/>
      <c r="AA25" s="38"/>
      <c r="AB25" s="39"/>
    </row>
    <row r="26" spans="2:63" ht="15" customHeight="1" thickBot="1" x14ac:dyDescent="0.45">
      <c r="B26" s="110" t="s">
        <v>807</v>
      </c>
      <c r="C26" s="110"/>
      <c r="D26" s="110"/>
      <c r="E26" s="110"/>
      <c r="F26" s="110"/>
      <c r="G26" s="110"/>
      <c r="H26" s="110"/>
      <c r="I26" s="110"/>
      <c r="J26" s="110"/>
      <c r="K26" s="110"/>
      <c r="M26" s="52" t="s">
        <v>833</v>
      </c>
      <c r="N26" s="52"/>
      <c r="O26" s="52"/>
      <c r="P26" s="52"/>
      <c r="Q26" s="52"/>
      <c r="R26" s="54" t="s">
        <v>855</v>
      </c>
      <c r="S26" s="54"/>
      <c r="T26" s="54"/>
      <c r="U26" s="54"/>
      <c r="V26" s="54"/>
      <c r="AP26" s="87" t="s">
        <v>834</v>
      </c>
      <c r="AQ26" s="88"/>
      <c r="AR26" s="88"/>
      <c r="AS26" s="88"/>
      <c r="AT26" s="88"/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G26" s="88"/>
      <c r="BH26" s="88"/>
      <c r="BI26" s="88"/>
      <c r="BJ26" s="88"/>
      <c r="BK26" s="89"/>
    </row>
    <row r="27" spans="2:63" ht="15" customHeight="1" x14ac:dyDescent="0.4">
      <c r="B27" s="52" t="s">
        <v>824</v>
      </c>
      <c r="C27" s="52"/>
      <c r="D27" s="52"/>
      <c r="E27" s="52"/>
      <c r="F27" s="52"/>
      <c r="G27" s="54" t="s">
        <v>778</v>
      </c>
      <c r="H27" s="54"/>
      <c r="I27" s="54"/>
      <c r="J27" s="54"/>
      <c r="K27" s="54"/>
      <c r="M27" s="52" t="s">
        <v>763</v>
      </c>
      <c r="N27" s="52"/>
      <c r="O27" s="52"/>
      <c r="P27" s="52"/>
      <c r="Q27" s="52"/>
      <c r="R27" s="54" t="s">
        <v>27</v>
      </c>
      <c r="S27" s="54"/>
      <c r="T27" s="54"/>
      <c r="U27" s="54"/>
      <c r="V27" s="54"/>
      <c r="X27" s="95" t="s">
        <v>864</v>
      </c>
      <c r="Y27" s="96"/>
      <c r="Z27" s="96"/>
      <c r="AA27" s="96"/>
      <c r="AB27" s="96"/>
      <c r="AC27" s="96"/>
      <c r="AD27" s="96"/>
      <c r="AE27" s="96"/>
      <c r="AF27" s="96"/>
      <c r="AG27" s="96"/>
      <c r="AH27" s="96"/>
      <c r="AI27" s="96"/>
      <c r="AJ27" s="96"/>
      <c r="AK27" s="96"/>
      <c r="AL27" s="96"/>
      <c r="AM27" s="96"/>
      <c r="AN27" s="96"/>
      <c r="AO27" s="97"/>
      <c r="AP27" s="90"/>
      <c r="AQ27" s="90"/>
      <c r="AR27" s="90"/>
      <c r="AS27" s="90"/>
      <c r="AT27" s="90"/>
      <c r="AU27" s="90"/>
      <c r="AV27" s="90"/>
      <c r="AW27" s="90"/>
      <c r="AX27" s="90"/>
      <c r="AY27" s="90"/>
      <c r="AZ27" s="90"/>
      <c r="BA27" s="90"/>
      <c r="BB27" s="90"/>
      <c r="BC27" s="90"/>
      <c r="BD27" s="90"/>
      <c r="BE27" s="90"/>
      <c r="BF27" s="90"/>
      <c r="BG27" s="90"/>
      <c r="BH27" s="90"/>
      <c r="BI27" s="90"/>
      <c r="BJ27" s="90"/>
      <c r="BK27" s="91"/>
    </row>
    <row r="28" spans="2:63" ht="15" customHeight="1" x14ac:dyDescent="0.4">
      <c r="B28" s="52" t="s">
        <v>751</v>
      </c>
      <c r="C28" s="52"/>
      <c r="D28" s="52"/>
      <c r="E28" s="52"/>
      <c r="F28" s="52"/>
      <c r="G28" s="56"/>
      <c r="H28" s="56"/>
      <c r="I28" s="56"/>
      <c r="J28" s="56"/>
      <c r="K28" s="56"/>
      <c r="M28" s="52" t="s">
        <v>770</v>
      </c>
      <c r="N28" s="52"/>
      <c r="O28" s="52"/>
      <c r="P28" s="52"/>
      <c r="Q28" s="52"/>
      <c r="R28" s="54" t="s">
        <v>27</v>
      </c>
      <c r="S28" s="54"/>
      <c r="T28" s="54"/>
      <c r="U28" s="54"/>
      <c r="V28" s="54"/>
      <c r="X28" s="98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99"/>
      <c r="AP28" s="90"/>
      <c r="AQ28" s="90"/>
      <c r="AR28" s="90"/>
      <c r="AS28" s="90"/>
      <c r="AT28" s="90"/>
      <c r="AU28" s="90"/>
      <c r="AV28" s="90"/>
      <c r="AW28" s="90"/>
      <c r="AX28" s="90"/>
      <c r="AY28" s="90"/>
      <c r="AZ28" s="90"/>
      <c r="BA28" s="90"/>
      <c r="BB28" s="90"/>
      <c r="BC28" s="90"/>
      <c r="BD28" s="90"/>
      <c r="BE28" s="90"/>
      <c r="BF28" s="90"/>
      <c r="BG28" s="90"/>
      <c r="BH28" s="90"/>
      <c r="BI28" s="90"/>
      <c r="BJ28" s="90"/>
      <c r="BK28" s="91"/>
    </row>
    <row r="29" spans="2:63" ht="15" customHeight="1" x14ac:dyDescent="0.4">
      <c r="B29" s="52" t="s">
        <v>779</v>
      </c>
      <c r="C29" s="52"/>
      <c r="D29" s="52"/>
      <c r="E29" s="52"/>
      <c r="F29" s="52"/>
      <c r="G29" s="57" t="s">
        <v>34</v>
      </c>
      <c r="H29" s="57"/>
      <c r="I29" s="57"/>
      <c r="J29" s="57"/>
      <c r="K29" s="57"/>
      <c r="M29" s="52" t="s">
        <v>819</v>
      </c>
      <c r="N29" s="52"/>
      <c r="O29" s="52"/>
      <c r="P29" s="52"/>
      <c r="Q29" s="52"/>
      <c r="R29" s="54" t="s">
        <v>27</v>
      </c>
      <c r="S29" s="54"/>
      <c r="T29" s="54"/>
      <c r="U29" s="54"/>
      <c r="V29" s="54"/>
      <c r="X29" s="98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99"/>
      <c r="AP29" s="90"/>
      <c r="AQ29" s="90"/>
      <c r="AR29" s="90"/>
      <c r="AS29" s="90"/>
      <c r="AT29" s="90"/>
      <c r="AU29" s="90"/>
      <c r="AV29" s="90"/>
      <c r="AW29" s="90"/>
      <c r="AX29" s="90"/>
      <c r="AY29" s="90"/>
      <c r="AZ29" s="90"/>
      <c r="BA29" s="90"/>
      <c r="BB29" s="90"/>
      <c r="BC29" s="90"/>
      <c r="BD29" s="90"/>
      <c r="BE29" s="90"/>
      <c r="BF29" s="90"/>
      <c r="BG29" s="90"/>
      <c r="BH29" s="90"/>
      <c r="BI29" s="90"/>
      <c r="BJ29" s="90"/>
      <c r="BK29" s="91"/>
    </row>
    <row r="30" spans="2:63" ht="15" customHeight="1" thickBot="1" x14ac:dyDescent="0.45">
      <c r="M30" s="52" t="s">
        <v>815</v>
      </c>
      <c r="N30" s="52"/>
      <c r="O30" s="52"/>
      <c r="P30" s="52"/>
      <c r="Q30" s="52"/>
      <c r="R30" s="54" t="s">
        <v>826</v>
      </c>
      <c r="S30" s="54"/>
      <c r="T30" s="54"/>
      <c r="U30" s="54"/>
      <c r="V30" s="54"/>
      <c r="X30" s="100"/>
      <c r="Y30" s="101"/>
      <c r="Z30" s="101"/>
      <c r="AA30" s="101"/>
      <c r="AB30" s="101"/>
      <c r="AC30" s="101"/>
      <c r="AD30" s="101"/>
      <c r="AE30" s="101"/>
      <c r="AF30" s="101"/>
      <c r="AG30" s="101"/>
      <c r="AH30" s="101"/>
      <c r="AI30" s="101"/>
      <c r="AJ30" s="101"/>
      <c r="AK30" s="101"/>
      <c r="AL30" s="101"/>
      <c r="AM30" s="101"/>
      <c r="AN30" s="101"/>
      <c r="AO30" s="102"/>
      <c r="AP30" s="90"/>
      <c r="AQ30" s="90"/>
      <c r="AR30" s="90"/>
      <c r="AS30" s="90"/>
      <c r="AT30" s="90"/>
      <c r="AU30" s="90"/>
      <c r="AV30" s="90"/>
      <c r="AW30" s="90"/>
      <c r="AX30" s="90"/>
      <c r="AY30" s="90"/>
      <c r="AZ30" s="90"/>
      <c r="BA30" s="90"/>
      <c r="BB30" s="90"/>
      <c r="BC30" s="90"/>
      <c r="BD30" s="90"/>
      <c r="BE30" s="90"/>
      <c r="BF30" s="90"/>
      <c r="BG30" s="90"/>
      <c r="BH30" s="90"/>
      <c r="BI30" s="90"/>
      <c r="BJ30" s="90"/>
      <c r="BK30" s="91"/>
    </row>
    <row r="31" spans="2:63" ht="15" customHeight="1" thickBot="1" x14ac:dyDescent="0.45">
      <c r="B31" s="22"/>
      <c r="C31" s="22"/>
      <c r="D31" s="22"/>
      <c r="E31" s="22"/>
      <c r="F31" s="22"/>
      <c r="G31" s="22"/>
      <c r="H31" s="22"/>
      <c r="I31" s="1"/>
      <c r="J31" s="1"/>
      <c r="K31" s="1"/>
      <c r="AP31" s="92"/>
      <c r="AQ31" s="93"/>
      <c r="AR31" s="93"/>
      <c r="AS31" s="93"/>
      <c r="AT31" s="93"/>
      <c r="AU31" s="93"/>
      <c r="AV31" s="93"/>
      <c r="AW31" s="93"/>
      <c r="AX31" s="93"/>
      <c r="AY31" s="93"/>
      <c r="AZ31" s="93"/>
      <c r="BA31" s="93"/>
      <c r="BB31" s="93"/>
      <c r="BC31" s="93"/>
      <c r="BD31" s="93"/>
      <c r="BE31" s="93"/>
      <c r="BF31" s="93"/>
      <c r="BG31" s="93"/>
      <c r="BH31" s="93"/>
      <c r="BI31" s="93"/>
      <c r="BJ31" s="93"/>
      <c r="BK31" s="94"/>
    </row>
    <row r="32" spans="2:63" ht="15" customHeight="1" x14ac:dyDescent="0.4">
      <c r="H32" s="65" t="s">
        <v>799</v>
      </c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114"/>
      <c r="Z32" s="114"/>
      <c r="AA32" s="114"/>
    </row>
    <row r="33" spans="2:27" ht="15" customHeight="1" x14ac:dyDescent="0.4">
      <c r="C33" s="59" t="s">
        <v>816</v>
      </c>
      <c r="D33" s="60"/>
      <c r="E33" s="60"/>
      <c r="F33" s="61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  <c r="S33" s="103"/>
      <c r="T33" s="103"/>
      <c r="U33" s="103"/>
      <c r="V33" s="103"/>
      <c r="W33" s="103"/>
      <c r="X33" s="103"/>
      <c r="Y33" s="103"/>
      <c r="Z33" s="103"/>
      <c r="AA33" s="103"/>
    </row>
    <row r="34" spans="2:27" ht="15" customHeight="1" x14ac:dyDescent="0.4">
      <c r="C34" s="62"/>
      <c r="D34" s="63"/>
      <c r="E34" s="63"/>
      <c r="F34" s="64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  <c r="W34" s="103"/>
      <c r="X34" s="103"/>
      <c r="Y34" s="103"/>
      <c r="Z34" s="103"/>
      <c r="AA34" s="103"/>
    </row>
    <row r="35" spans="2:27" ht="15" customHeight="1" thickBot="1" x14ac:dyDescent="0.45">
      <c r="B35" s="37"/>
      <c r="C35" s="37"/>
      <c r="D35" s="37"/>
      <c r="E35" s="37"/>
      <c r="F35" s="37"/>
      <c r="G35" s="37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  <c r="AA35" s="115"/>
    </row>
    <row r="36" spans="2:27" ht="15" customHeight="1" x14ac:dyDescent="0.4"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65" t="s">
        <v>829</v>
      </c>
      <c r="T36" s="65"/>
      <c r="U36" s="65"/>
      <c r="V36" s="65"/>
      <c r="W36" s="65"/>
      <c r="X36" s="65"/>
      <c r="Y36" s="65"/>
      <c r="Z36" s="65"/>
      <c r="AA36" s="65"/>
    </row>
    <row r="37" spans="2:27" ht="15" customHeight="1" x14ac:dyDescent="0.4">
      <c r="C37" s="59" t="s">
        <v>806</v>
      </c>
      <c r="D37" s="60"/>
      <c r="E37" s="60"/>
      <c r="F37" s="61"/>
      <c r="H37" s="52" t="s">
        <v>815</v>
      </c>
      <c r="I37" s="52"/>
      <c r="J37" s="52"/>
      <c r="K37" s="52"/>
      <c r="L37" s="52"/>
      <c r="M37" s="54" t="s">
        <v>812</v>
      </c>
      <c r="N37" s="54"/>
      <c r="O37" s="54"/>
      <c r="P37" s="54"/>
      <c r="Q37" s="54"/>
      <c r="S37" s="55"/>
      <c r="T37" s="55"/>
      <c r="U37" s="55"/>
      <c r="V37" s="55"/>
      <c r="W37" s="55"/>
      <c r="X37" s="55"/>
      <c r="Y37" s="55"/>
      <c r="Z37" s="55"/>
      <c r="AA37" s="55"/>
    </row>
    <row r="38" spans="2:27" ht="15" customHeight="1" x14ac:dyDescent="0.4">
      <c r="C38" s="62"/>
      <c r="D38" s="63"/>
      <c r="E38" s="63"/>
      <c r="F38" s="64"/>
      <c r="H38" s="52" t="s">
        <v>827</v>
      </c>
      <c r="I38" s="52"/>
      <c r="J38" s="52"/>
      <c r="K38" s="52"/>
      <c r="L38" s="52"/>
      <c r="M38" s="56">
        <v>20231216</v>
      </c>
      <c r="N38" s="56"/>
      <c r="O38" s="56"/>
      <c r="P38" s="56"/>
      <c r="Q38" s="56"/>
      <c r="S38" s="55"/>
      <c r="T38" s="55"/>
      <c r="U38" s="55"/>
      <c r="V38" s="55"/>
      <c r="W38" s="55"/>
      <c r="X38" s="55"/>
      <c r="Y38" s="55"/>
      <c r="Z38" s="55"/>
      <c r="AA38" s="55"/>
    </row>
    <row r="39" spans="2:27" ht="15" customHeight="1" thickBot="1" x14ac:dyDescent="0.45">
      <c r="C39" s="41"/>
      <c r="D39" s="41"/>
      <c r="E39" s="41"/>
      <c r="F39" s="41"/>
      <c r="H39" s="52" t="s">
        <v>828</v>
      </c>
      <c r="I39" s="52"/>
      <c r="J39" s="52"/>
      <c r="K39" s="52"/>
      <c r="L39" s="52"/>
      <c r="M39" s="56">
        <v>20250411</v>
      </c>
      <c r="N39" s="56"/>
      <c r="O39" s="56"/>
      <c r="P39" s="56"/>
      <c r="Q39" s="56"/>
      <c r="S39" s="55"/>
      <c r="T39" s="55"/>
      <c r="U39" s="55"/>
      <c r="V39" s="55"/>
      <c r="W39" s="55"/>
      <c r="X39" s="55"/>
      <c r="Y39" s="55"/>
      <c r="Z39" s="55"/>
      <c r="AA39" s="55"/>
    </row>
    <row r="40" spans="2:27" ht="15" customHeight="1" thickBot="1" x14ac:dyDescent="0.45">
      <c r="C40" s="111" t="s">
        <v>867</v>
      </c>
      <c r="D40" s="112"/>
      <c r="E40" s="112"/>
      <c r="F40" s="113"/>
      <c r="H40" s="52" t="s">
        <v>749</v>
      </c>
      <c r="I40" s="52"/>
      <c r="J40" s="52"/>
      <c r="K40" s="52"/>
      <c r="L40" s="52"/>
      <c r="M40" s="54" t="s">
        <v>747</v>
      </c>
      <c r="N40" s="54"/>
      <c r="O40" s="54"/>
      <c r="P40" s="54"/>
      <c r="Q40" s="54"/>
      <c r="S40" s="55"/>
      <c r="T40" s="55"/>
      <c r="U40" s="55"/>
      <c r="V40" s="55"/>
      <c r="W40" s="55"/>
      <c r="X40" s="55"/>
      <c r="Y40" s="55"/>
      <c r="Z40" s="55"/>
      <c r="AA40" s="55"/>
    </row>
    <row r="41" spans="2:27" ht="15" customHeight="1" x14ac:dyDescent="0.4">
      <c r="C41" s="42"/>
      <c r="D41" s="42"/>
      <c r="E41" s="42"/>
      <c r="F41" s="42"/>
      <c r="H41" s="43"/>
      <c r="I41" s="43"/>
      <c r="J41" s="43"/>
      <c r="K41" s="43"/>
      <c r="L41" s="43"/>
      <c r="M41" s="43"/>
      <c r="N41" s="43"/>
      <c r="O41" s="43"/>
      <c r="P41" s="43"/>
      <c r="Q41" s="43"/>
      <c r="S41" s="55"/>
      <c r="T41" s="55"/>
      <c r="U41" s="55"/>
      <c r="V41" s="55"/>
      <c r="W41" s="55"/>
      <c r="X41" s="55"/>
      <c r="Y41" s="55"/>
      <c r="Z41" s="55"/>
      <c r="AA41" s="55"/>
    </row>
    <row r="42" spans="2:27" ht="15" customHeight="1" thickBot="1" x14ac:dyDescent="0.45"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66"/>
      <c r="T42" s="66"/>
      <c r="U42" s="66"/>
      <c r="V42" s="66"/>
      <c r="W42" s="66"/>
      <c r="X42" s="66"/>
      <c r="Y42" s="66"/>
      <c r="Z42" s="66"/>
      <c r="AA42" s="66"/>
    </row>
    <row r="43" spans="2:27" ht="15" hidden="1" customHeight="1" x14ac:dyDescent="0.4"/>
    <row r="44" spans="2:27" ht="15" hidden="1" customHeight="1" x14ac:dyDescent="0.4">
      <c r="B44" s="59" t="s">
        <v>677</v>
      </c>
      <c r="C44" s="60"/>
      <c r="D44" s="60"/>
      <c r="E44" s="61"/>
      <c r="G44" s="59" t="s">
        <v>700</v>
      </c>
      <c r="H44" s="60"/>
      <c r="I44" s="60"/>
      <c r="J44" s="61"/>
      <c r="L44" s="59" t="s">
        <v>687</v>
      </c>
      <c r="M44" s="60"/>
      <c r="N44" s="60"/>
      <c r="O44" s="61"/>
      <c r="Q44" s="59" t="s">
        <v>676</v>
      </c>
      <c r="R44" s="60"/>
      <c r="S44" s="60"/>
      <c r="T44" s="61"/>
    </row>
    <row r="45" spans="2:27" ht="15" hidden="1" customHeight="1" x14ac:dyDescent="0.4">
      <c r="B45" s="62"/>
      <c r="C45" s="63"/>
      <c r="D45" s="63"/>
      <c r="E45" s="64"/>
      <c r="G45" s="62"/>
      <c r="H45" s="63"/>
      <c r="I45" s="63"/>
      <c r="J45" s="64"/>
      <c r="L45" s="62"/>
      <c r="M45" s="63"/>
      <c r="N45" s="63"/>
      <c r="O45" s="64"/>
      <c r="Q45" s="62"/>
      <c r="R45" s="63"/>
      <c r="S45" s="63"/>
      <c r="T45" s="64"/>
    </row>
    <row r="46" spans="2:27" ht="15" hidden="1" customHeight="1" x14ac:dyDescent="0.4"/>
    <row r="47" spans="2:27" ht="15" hidden="1" customHeight="1" x14ac:dyDescent="0.4">
      <c r="G47" s="59" t="s">
        <v>683</v>
      </c>
      <c r="H47" s="60"/>
      <c r="I47" s="60"/>
      <c r="J47" s="61"/>
      <c r="L47" s="59" t="s">
        <v>684</v>
      </c>
      <c r="M47" s="60"/>
      <c r="N47" s="60"/>
      <c r="O47" s="61"/>
    </row>
    <row r="48" spans="2:27" ht="15" hidden="1" customHeight="1" x14ac:dyDescent="0.4">
      <c r="G48" s="62"/>
      <c r="H48" s="63"/>
      <c r="I48" s="63"/>
      <c r="J48" s="64"/>
      <c r="L48" s="62"/>
      <c r="M48" s="63"/>
      <c r="N48" s="63"/>
      <c r="O48" s="64"/>
    </row>
    <row r="49" spans="2:27" ht="15" hidden="1" customHeight="1" thickBot="1" x14ac:dyDescent="0.45"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</row>
    <row r="50" spans="2:27" ht="15" hidden="1" customHeight="1" x14ac:dyDescent="0.4"/>
  </sheetData>
  <mergeCells count="77">
    <mergeCell ref="R23:V23"/>
    <mergeCell ref="M29:Q29"/>
    <mergeCell ref="R29:V29"/>
    <mergeCell ref="G28:K28"/>
    <mergeCell ref="B28:F28"/>
    <mergeCell ref="B27:F27"/>
    <mergeCell ref="B24:F24"/>
    <mergeCell ref="B25:F25"/>
    <mergeCell ref="R24:V24"/>
    <mergeCell ref="X24:Z25"/>
    <mergeCell ref="M27:Q27"/>
    <mergeCell ref="S36:AA42"/>
    <mergeCell ref="C33:F34"/>
    <mergeCell ref="H32:AA35"/>
    <mergeCell ref="B29:F29"/>
    <mergeCell ref="G29:K29"/>
    <mergeCell ref="H17:L17"/>
    <mergeCell ref="M21:Q21"/>
    <mergeCell ref="G47:J48"/>
    <mergeCell ref="L47:O48"/>
    <mergeCell ref="G44:J45"/>
    <mergeCell ref="L44:O45"/>
    <mergeCell ref="M23:Q23"/>
    <mergeCell ref="B44:E45"/>
    <mergeCell ref="R27:V27"/>
    <mergeCell ref="G27:K27"/>
    <mergeCell ref="C37:F38"/>
    <mergeCell ref="Q44:T45"/>
    <mergeCell ref="C40:F40"/>
    <mergeCell ref="H40:L40"/>
    <mergeCell ref="M40:Q40"/>
    <mergeCell ref="H38:L38"/>
    <mergeCell ref="M38:Q38"/>
    <mergeCell ref="H39:L39"/>
    <mergeCell ref="M39:Q39"/>
    <mergeCell ref="H37:L37"/>
    <mergeCell ref="M37:Q37"/>
    <mergeCell ref="R28:V28"/>
    <mergeCell ref="M30:Q30"/>
    <mergeCell ref="AF8:AI8"/>
    <mergeCell ref="AF6:AI6"/>
    <mergeCell ref="T5:W6"/>
    <mergeCell ref="R26:V26"/>
    <mergeCell ref="C17:F18"/>
    <mergeCell ref="O5:R6"/>
    <mergeCell ref="H9:L9"/>
    <mergeCell ref="C9:F10"/>
    <mergeCell ref="J5:M6"/>
    <mergeCell ref="C13:F14"/>
    <mergeCell ref="B21:F21"/>
    <mergeCell ref="R21:V21"/>
    <mergeCell ref="G21:K21"/>
    <mergeCell ref="B26:K26"/>
    <mergeCell ref="B23:K23"/>
    <mergeCell ref="G24:K24"/>
    <mergeCell ref="AF4:AI4"/>
    <mergeCell ref="AC2:AI2"/>
    <mergeCell ref="C2:H2"/>
    <mergeCell ref="J2:M3"/>
    <mergeCell ref="O2:R3"/>
    <mergeCell ref="T2:W3"/>
    <mergeCell ref="AP10:BK22"/>
    <mergeCell ref="AP26:BK31"/>
    <mergeCell ref="X27:AO30"/>
    <mergeCell ref="M25:Q25"/>
    <mergeCell ref="R25:V25"/>
    <mergeCell ref="M9:Z11"/>
    <mergeCell ref="X21:Z22"/>
    <mergeCell ref="R22:V22"/>
    <mergeCell ref="M22:Q22"/>
    <mergeCell ref="R30:V30"/>
    <mergeCell ref="M28:Q28"/>
    <mergeCell ref="H12:Z15"/>
    <mergeCell ref="G25:K25"/>
    <mergeCell ref="M24:Q24"/>
    <mergeCell ref="M26:Q26"/>
    <mergeCell ref="M17:Z19"/>
  </mergeCells>
  <phoneticPr fontId="1"/>
  <dataValidations count="3">
    <dataValidation type="whole" imeMode="off" allowBlank="1" showInputMessage="1" showErrorMessage="1" sqref="G28:K28" xr:uid="{76316C9B-23DF-4BEF-8DF7-86D7424AF566}">
      <formula1>150000</formula1>
      <formula2>999999</formula2>
    </dataValidation>
    <dataValidation type="whole" imeMode="off" allowBlank="1" showInputMessage="1" showErrorMessage="1" sqref="G24:K25 M38:Q39" xr:uid="{DB13B4D7-3C76-48DA-BF9A-EE1843ADAFD1}">
      <formula1>20000101</formula1>
      <formula2>99999999</formula2>
    </dataValidation>
    <dataValidation imeMode="off" allowBlank="1" showInputMessage="1" showErrorMessage="1" sqref="G29:K29" xr:uid="{74C6F48A-C8FD-44CC-84C3-6161439EE4CC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1AD3895B-C9BC-4DE8-8892-66FF7021BC20}">
          <x14:formula1>
            <xm:f>setting!$V$2:$V$4</xm:f>
          </x14:formula1>
          <xm:sqref>R21:V21</xm:sqref>
        </x14:dataValidation>
        <x14:dataValidation type="list" allowBlank="1" showInputMessage="1" showErrorMessage="1" xr:uid="{295CAAF1-CE61-47AA-A066-34957EC36961}">
          <x14:formula1>
            <xm:f>setting!$B$2:$B$3</xm:f>
          </x14:formula1>
          <xm:sqref>G21:K21 H9:L9 H17:L17</xm:sqref>
        </x14:dataValidation>
        <x14:dataValidation type="list" allowBlank="1" showInputMessage="1" showErrorMessage="1" xr:uid="{D8A47770-66ED-4F6A-AAD8-B73A0C004282}">
          <x14:formula1>
            <xm:f>setting!$X$2:$X$4</xm:f>
          </x14:formula1>
          <xm:sqref>R25:V25</xm:sqref>
        </x14:dataValidation>
        <x14:dataValidation type="list" allowBlank="1" showInputMessage="1" showErrorMessage="1" xr:uid="{43FF4F29-0E5A-4BE1-B56B-34DA05583721}">
          <x14:formula1>
            <xm:f>setting!$Z$2:$Z$3</xm:f>
          </x14:formula1>
          <xm:sqref>M40:Q40</xm:sqref>
        </x14:dataValidation>
        <x14:dataValidation type="list" allowBlank="1" showInputMessage="1" showErrorMessage="1" xr:uid="{19B09A4B-B2C3-43F8-92D6-D4C3BDA20A7D}">
          <x14:formula1>
            <xm:f>setting!$AB$2:$AB$4</xm:f>
          </x14:formula1>
          <xm:sqref>R27:V27</xm:sqref>
        </x14:dataValidation>
        <x14:dataValidation type="list" allowBlank="1" showInputMessage="1" showErrorMessage="1" xr:uid="{7BC684FB-EE7F-40F8-B1A7-D97B62A761ED}">
          <x14:formula1>
            <xm:f>setting!$AD$2:$AD$8</xm:f>
          </x14:formula1>
          <xm:sqref>R28:V28</xm:sqref>
        </x14:dataValidation>
        <x14:dataValidation type="list" allowBlank="1" showInputMessage="1" showErrorMessage="1" xr:uid="{A7BD97E5-D3CE-473E-80BE-2435B79A74CE}">
          <x14:formula1>
            <xm:f>setting!$Z$2:$Z$9</xm:f>
          </x14:formula1>
          <xm:sqref>R26:V26</xm:sqref>
        </x14:dataValidation>
        <x14:dataValidation type="list" allowBlank="1" showInputMessage="1" showErrorMessage="1" xr:uid="{35C86E73-212D-4F6E-B142-C1E74ED431CC}">
          <x14:formula1>
            <xm:f>OFFSET(setting!$D:$D,1,0,MAX(1, COUNTA(setting!$D:$D)-1), 1)</xm:f>
          </x14:formula1>
          <xm:sqref>G27:K27 R22:V24</xm:sqref>
        </x14:dataValidation>
        <x14:dataValidation type="list" allowBlank="1" showInputMessage="1" showErrorMessage="1" xr:uid="{76E5B9C5-5419-414B-8D93-ED5709CA2D71}">
          <x14:formula1>
            <xm:f>OFFSET(setting!$AF:$AF,1,0,MAX(1, COUNTA(setting!$AF:$AF)-1), 1)</xm:f>
          </x14:formula1>
          <xm:sqref>M37:Q37 R30:V30</xm:sqref>
        </x14:dataValidation>
        <x14:dataValidation type="list" allowBlank="1" showInputMessage="1" showErrorMessage="1" xr:uid="{98605EF8-A82E-4D1F-B28B-05ED91DB761C}">
          <x14:formula1>
            <xm:f>setting!AH$2:$AH$7</xm:f>
          </x14:formula1>
          <xm:sqref>R29:V29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06AF9-DC97-4DFF-9F70-3F48DE48C6E7}">
  <sheetPr codeName="Sheet3"/>
  <dimension ref="A1:G6"/>
  <sheetViews>
    <sheetView zoomScale="70" zoomScaleNormal="70" workbookViewId="0">
      <selection activeCell="G2" sqref="G2:K2"/>
    </sheetView>
  </sheetViews>
  <sheetFormatPr defaultRowHeight="18.75" x14ac:dyDescent="0.4"/>
  <cols>
    <col min="1" max="1" width="11.75" bestFit="1" customWidth="1"/>
  </cols>
  <sheetData>
    <row r="1" spans="1:7" x14ac:dyDescent="0.4">
      <c r="A1" t="s">
        <v>851</v>
      </c>
    </row>
    <row r="2" spans="1:7" x14ac:dyDescent="0.4">
      <c r="A2" t="s">
        <v>852</v>
      </c>
      <c r="C2" s="116" t="s">
        <v>801</v>
      </c>
      <c r="D2" s="117"/>
      <c r="E2" s="117"/>
      <c r="F2" s="117"/>
      <c r="G2" s="117"/>
    </row>
    <row r="3" spans="1:7" x14ac:dyDescent="0.4">
      <c r="A3" t="s">
        <v>853</v>
      </c>
      <c r="C3" s="117"/>
      <c r="D3" s="117"/>
      <c r="E3" s="117"/>
      <c r="F3" s="117"/>
      <c r="G3" s="117"/>
    </row>
    <row r="4" spans="1:7" x14ac:dyDescent="0.4">
      <c r="C4" s="117"/>
      <c r="D4" s="117"/>
      <c r="E4" s="117"/>
      <c r="F4" s="117"/>
      <c r="G4" s="117"/>
    </row>
    <row r="5" spans="1:7" x14ac:dyDescent="0.4">
      <c r="C5" s="117"/>
      <c r="D5" s="117"/>
      <c r="E5" s="117"/>
      <c r="F5" s="117"/>
      <c r="G5" s="117"/>
    </row>
    <row r="6" spans="1:7" x14ac:dyDescent="0.4">
      <c r="C6" s="117"/>
      <c r="D6" s="117"/>
      <c r="E6" s="117"/>
      <c r="F6" s="117"/>
      <c r="G6" s="117"/>
    </row>
  </sheetData>
  <mergeCells count="1">
    <mergeCell ref="C2:G6"/>
  </mergeCells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8831B-8946-4FD9-B581-E08ACFEE5006}">
  <sheetPr codeName="Sheet6"/>
  <dimension ref="B2:BR24"/>
  <sheetViews>
    <sheetView zoomScale="90" zoomScaleNormal="90" workbookViewId="0">
      <selection activeCell="G2" sqref="G2:K2"/>
    </sheetView>
  </sheetViews>
  <sheetFormatPr defaultColWidth="2.625" defaultRowHeight="15" customHeight="1" x14ac:dyDescent="0.4"/>
  <sheetData>
    <row r="2" spans="2:70" ht="15" customHeight="1" x14ac:dyDescent="0.4">
      <c r="B2" s="52" t="s">
        <v>0</v>
      </c>
      <c r="C2" s="52"/>
      <c r="D2" s="52"/>
      <c r="E2" s="52"/>
      <c r="F2" s="52"/>
      <c r="G2" s="52">
        <v>225002</v>
      </c>
      <c r="H2" s="52"/>
      <c r="I2" s="52"/>
      <c r="J2" s="52"/>
      <c r="K2" s="52"/>
      <c r="BB2" s="52" t="s">
        <v>792</v>
      </c>
      <c r="BC2" s="52"/>
      <c r="BD2" s="52"/>
      <c r="BE2" s="52"/>
      <c r="BF2" s="52"/>
      <c r="BG2" s="52"/>
      <c r="BH2" s="52">
        <v>20250416</v>
      </c>
      <c r="BI2" s="52"/>
      <c r="BJ2" s="52"/>
      <c r="BK2" s="52"/>
      <c r="BL2" s="52"/>
      <c r="BM2" s="52"/>
      <c r="BN2" s="52"/>
      <c r="BO2" s="52"/>
    </row>
    <row r="3" spans="2:70" ht="15" customHeight="1" x14ac:dyDescent="0.4">
      <c r="BB3" s="52" t="s">
        <v>803</v>
      </c>
      <c r="BC3" s="52"/>
      <c r="BD3" s="52"/>
      <c r="BE3" s="52"/>
      <c r="BF3" s="52"/>
      <c r="BG3" s="52"/>
      <c r="BH3" s="52">
        <v>20231010121202</v>
      </c>
      <c r="BI3" s="52"/>
      <c r="BJ3" s="52"/>
      <c r="BK3" s="52"/>
      <c r="BL3" s="52"/>
      <c r="BM3" s="52"/>
      <c r="BN3" s="52"/>
      <c r="BO3" s="52"/>
    </row>
    <row r="4" spans="2:70" ht="15" customHeight="1" x14ac:dyDescent="0.4">
      <c r="B4" s="52" t="s">
        <v>766</v>
      </c>
      <c r="C4" s="52"/>
      <c r="D4" s="52"/>
      <c r="E4" s="52"/>
      <c r="F4" s="52"/>
      <c r="G4" s="52" t="s">
        <v>5</v>
      </c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BB4" s="52" t="s">
        <v>804</v>
      </c>
      <c r="BC4" s="52"/>
      <c r="BD4" s="52"/>
      <c r="BE4" s="52"/>
      <c r="BF4" s="52"/>
      <c r="BG4" s="52"/>
      <c r="BH4" s="52">
        <v>20250108150703</v>
      </c>
      <c r="BI4" s="52"/>
      <c r="BJ4" s="52"/>
      <c r="BK4" s="52"/>
      <c r="BL4" s="52"/>
      <c r="BM4" s="52"/>
      <c r="BN4" s="52"/>
      <c r="BO4" s="52"/>
    </row>
    <row r="6" spans="2:70" ht="15" customHeight="1" x14ac:dyDescent="0.4">
      <c r="B6" s="52" t="s">
        <v>689</v>
      </c>
      <c r="C6" s="52"/>
      <c r="D6" s="52"/>
      <c r="E6" s="52"/>
      <c r="F6" s="52"/>
      <c r="G6" s="73" t="s">
        <v>8</v>
      </c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5"/>
      <c r="BB6" s="52" t="s">
        <v>767</v>
      </c>
      <c r="BC6" s="52"/>
      <c r="BD6" s="52"/>
      <c r="BE6" s="52"/>
      <c r="BF6" s="52"/>
      <c r="BG6" s="52"/>
      <c r="BH6" s="52" t="s">
        <v>869</v>
      </c>
      <c r="BI6" s="52"/>
      <c r="BJ6" s="52"/>
      <c r="BK6" s="52"/>
      <c r="BL6" s="52"/>
      <c r="BM6" s="52"/>
      <c r="BN6" s="52"/>
      <c r="BO6" s="52"/>
      <c r="BP6" s="52"/>
      <c r="BQ6" s="52"/>
      <c r="BR6" s="52"/>
    </row>
    <row r="7" spans="2:70" ht="15" customHeight="1" x14ac:dyDescent="0.4">
      <c r="BB7" s="52" t="s">
        <v>768</v>
      </c>
      <c r="BC7" s="52"/>
      <c r="BD7" s="52"/>
      <c r="BE7" s="52"/>
      <c r="BF7" s="52"/>
      <c r="BG7" s="52"/>
      <c r="BH7" s="52" t="s">
        <v>870</v>
      </c>
      <c r="BI7" s="52"/>
      <c r="BJ7" s="52"/>
      <c r="BK7" s="52"/>
      <c r="BL7" s="52"/>
      <c r="BM7" s="52"/>
      <c r="BN7" s="52"/>
      <c r="BO7" s="52"/>
      <c r="BP7" s="52"/>
      <c r="BQ7" s="52"/>
      <c r="BR7" s="52"/>
    </row>
    <row r="8" spans="2:70" ht="15" customHeight="1" thickBot="1" x14ac:dyDescent="0.45">
      <c r="B8" s="52" t="s">
        <v>690</v>
      </c>
      <c r="C8" s="52"/>
      <c r="D8" s="52"/>
      <c r="E8" s="52"/>
      <c r="F8" s="52"/>
      <c r="G8" s="73" t="s">
        <v>7</v>
      </c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5"/>
    </row>
    <row r="9" spans="2:70" ht="15" customHeight="1" thickBot="1" x14ac:dyDescent="0.45">
      <c r="BB9" s="120" t="s">
        <v>769</v>
      </c>
      <c r="BC9" s="118"/>
      <c r="BD9" s="118"/>
      <c r="BE9" s="118"/>
      <c r="BF9" s="118"/>
      <c r="BG9" s="118"/>
      <c r="BH9" s="118" t="s">
        <v>868</v>
      </c>
      <c r="BI9" s="118"/>
      <c r="BJ9" s="118"/>
      <c r="BK9" s="118"/>
      <c r="BL9" s="118"/>
      <c r="BM9" s="118"/>
      <c r="BN9" s="118"/>
      <c r="BO9" s="118"/>
      <c r="BP9" s="118"/>
      <c r="BQ9" s="118"/>
      <c r="BR9" s="119"/>
    </row>
    <row r="10" spans="2:70" ht="15" customHeight="1" x14ac:dyDescent="0.4">
      <c r="B10" s="52" t="s">
        <v>688</v>
      </c>
      <c r="C10" s="52"/>
      <c r="D10" s="52"/>
      <c r="E10" s="52"/>
      <c r="F10" s="52"/>
      <c r="G10" s="73" t="s">
        <v>9</v>
      </c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5"/>
    </row>
    <row r="12" spans="2:70" ht="15" customHeight="1" x14ac:dyDescent="0.4">
      <c r="B12" s="52" t="s">
        <v>691</v>
      </c>
      <c r="C12" s="52"/>
      <c r="D12" s="52"/>
      <c r="E12" s="52"/>
      <c r="F12" s="52"/>
      <c r="G12" s="73" t="s">
        <v>10</v>
      </c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5"/>
    </row>
    <row r="14" spans="2:70" ht="15" customHeight="1" x14ac:dyDescent="0.4">
      <c r="B14" s="73" t="s">
        <v>697</v>
      </c>
      <c r="C14" s="74"/>
      <c r="D14" s="74"/>
      <c r="E14" s="74"/>
      <c r="F14" s="75"/>
      <c r="G14" s="73" t="s">
        <v>5</v>
      </c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5"/>
    </row>
    <row r="16" spans="2:70" ht="15" customHeight="1" x14ac:dyDescent="0.4">
      <c r="B16" s="52" t="s">
        <v>698</v>
      </c>
      <c r="C16" s="52"/>
      <c r="D16" s="52"/>
      <c r="E16" s="52"/>
      <c r="F16" s="52"/>
      <c r="G16" s="73" t="s">
        <v>5</v>
      </c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5"/>
    </row>
    <row r="18" spans="2:22" ht="15" customHeight="1" x14ac:dyDescent="0.4">
      <c r="B18" s="52" t="s">
        <v>699</v>
      </c>
      <c r="C18" s="52"/>
      <c r="D18" s="52"/>
      <c r="E18" s="52"/>
      <c r="F18" s="52"/>
      <c r="G18" s="73" t="s">
        <v>5</v>
      </c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5"/>
    </row>
    <row r="20" spans="2:22" ht="15" customHeight="1" x14ac:dyDescent="0.4">
      <c r="B20" s="52" t="s">
        <v>686</v>
      </c>
      <c r="C20" s="52"/>
      <c r="D20" s="52"/>
      <c r="E20" s="52"/>
      <c r="F20" s="52"/>
      <c r="G20" s="73" t="s">
        <v>5</v>
      </c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5"/>
    </row>
    <row r="22" spans="2:22" ht="15" customHeight="1" x14ac:dyDescent="0.4">
      <c r="B22" s="52" t="s">
        <v>687</v>
      </c>
      <c r="C22" s="52"/>
      <c r="D22" s="52"/>
      <c r="E22" s="52"/>
      <c r="F22" s="52"/>
      <c r="G22" s="73" t="s">
        <v>5</v>
      </c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5"/>
    </row>
    <row r="24" spans="2:22" ht="15" customHeight="1" x14ac:dyDescent="0.4">
      <c r="B24" s="52" t="s">
        <v>748</v>
      </c>
      <c r="C24" s="52"/>
      <c r="D24" s="52"/>
      <c r="E24" s="52"/>
      <c r="F24" s="52"/>
      <c r="G24" s="73" t="s">
        <v>5</v>
      </c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5"/>
    </row>
  </sheetData>
  <mergeCells count="36">
    <mergeCell ref="B24:F24"/>
    <mergeCell ref="G24:V24"/>
    <mergeCell ref="BH2:BO2"/>
    <mergeCell ref="BH3:BO3"/>
    <mergeCell ref="BH4:BO4"/>
    <mergeCell ref="B12:F12"/>
    <mergeCell ref="G12:V12"/>
    <mergeCell ref="BB2:BG2"/>
    <mergeCell ref="B2:F2"/>
    <mergeCell ref="G2:K2"/>
    <mergeCell ref="B4:F4"/>
    <mergeCell ref="G4:V4"/>
    <mergeCell ref="B6:F6"/>
    <mergeCell ref="G6:V6"/>
    <mergeCell ref="BB4:BG4"/>
    <mergeCell ref="B8:F8"/>
    <mergeCell ref="G8:V8"/>
    <mergeCell ref="B10:F10"/>
    <mergeCell ref="G10:V10"/>
    <mergeCell ref="BB3:BG3"/>
    <mergeCell ref="BH9:BR9"/>
    <mergeCell ref="BH6:BR6"/>
    <mergeCell ref="BH7:BR7"/>
    <mergeCell ref="BB9:BG9"/>
    <mergeCell ref="BB6:BG6"/>
    <mergeCell ref="BB7:BG7"/>
    <mergeCell ref="B20:F20"/>
    <mergeCell ref="G20:V20"/>
    <mergeCell ref="B22:F22"/>
    <mergeCell ref="G22:V22"/>
    <mergeCell ref="B14:F14"/>
    <mergeCell ref="G14:V14"/>
    <mergeCell ref="B16:F16"/>
    <mergeCell ref="G16:V16"/>
    <mergeCell ref="B18:F18"/>
    <mergeCell ref="G18:V18"/>
  </mergeCells>
  <phoneticPr fontId="1"/>
  <dataValidations count="1">
    <dataValidation type="whole" imeMode="off" allowBlank="1" showInputMessage="1" showErrorMessage="1" sqref="G2:K2" xr:uid="{F83233C2-5CC4-4930-8339-805B2388E58D}">
      <formula1>150000</formula1>
      <formula2>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D5057E-EC8A-4E20-A200-6BE322C87122}">
          <x14:formula1>
            <xm:f>OFFSET(setting!$A:$A,1,0,MAX(1, COUNTA(setting!$A:$A)-1), 1)</xm:f>
          </x14:formula1>
          <xm:sqref>G10:V10 G4:V4 G18:V18 G20:V20 G16:V16 G12:V12 G14:V14 G6:V6 G8:V8 G22:V22 G24:V24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80FEA-ED84-4CC8-88BA-5D0A848EFD80}">
  <sheetPr codeName="Sheet2"/>
  <dimension ref="A1:AI269"/>
  <sheetViews>
    <sheetView topLeftCell="I1" zoomScale="90" zoomScaleNormal="90" workbookViewId="0">
      <selection activeCell="N3" sqref="N3"/>
    </sheetView>
  </sheetViews>
  <sheetFormatPr defaultRowHeight="18.75" x14ac:dyDescent="0.4"/>
  <cols>
    <col min="1" max="1" width="49.75" bestFit="1" customWidth="1"/>
    <col min="2" max="2" width="12.875" bestFit="1" customWidth="1"/>
    <col min="3" max="3" width="28.75" bestFit="1" customWidth="1"/>
    <col min="4" max="4" width="14.75" bestFit="1" customWidth="1"/>
    <col min="5" max="5" width="11" bestFit="1" customWidth="1"/>
    <col min="6" max="6" width="21.375" bestFit="1" customWidth="1"/>
    <col min="7" max="7" width="19.25" bestFit="1" customWidth="1"/>
    <col min="8" max="8" width="11" bestFit="1" customWidth="1"/>
    <col min="9" max="9" width="19.25" customWidth="1"/>
    <col min="10" max="10" width="20.25" customWidth="1"/>
    <col min="11" max="11" width="24.875" bestFit="1" customWidth="1"/>
    <col min="12" max="12" width="31.625" bestFit="1" customWidth="1"/>
    <col min="14" max="14" width="22.875" bestFit="1" customWidth="1"/>
    <col min="15" max="15" width="13" bestFit="1" customWidth="1"/>
    <col min="17" max="17" width="11.25" bestFit="1" customWidth="1"/>
    <col min="18" max="18" width="13" bestFit="1" customWidth="1"/>
    <col min="19" max="19" width="17.25" bestFit="1" customWidth="1"/>
    <col min="20" max="20" width="11.75" bestFit="1" customWidth="1"/>
    <col min="21" max="21" width="22.25" bestFit="1" customWidth="1"/>
    <col min="22" max="22" width="15.125" bestFit="1" customWidth="1"/>
    <col min="23" max="23" width="10.125" bestFit="1" customWidth="1"/>
    <col min="24" max="24" width="17.25" bestFit="1" customWidth="1"/>
    <col min="25" max="25" width="12.25" bestFit="1" customWidth="1"/>
    <col min="26" max="26" width="18.875" bestFit="1" customWidth="1"/>
    <col min="27" max="27" width="10.125" bestFit="1" customWidth="1"/>
    <col min="28" max="28" width="20.25" bestFit="1" customWidth="1"/>
    <col min="30" max="30" width="15.125" bestFit="1" customWidth="1"/>
    <col min="32" max="32" width="21.375" bestFit="1" customWidth="1"/>
  </cols>
  <sheetData>
    <row r="1" spans="1:35" x14ac:dyDescent="0.4">
      <c r="A1" t="s">
        <v>3</v>
      </c>
      <c r="B1" t="s">
        <v>1</v>
      </c>
      <c r="C1" t="s">
        <v>32</v>
      </c>
      <c r="D1" t="s">
        <v>14</v>
      </c>
      <c r="E1" t="s">
        <v>13</v>
      </c>
      <c r="F1" t="s">
        <v>72</v>
      </c>
      <c r="G1" t="s">
        <v>73</v>
      </c>
      <c r="H1" t="s">
        <v>74</v>
      </c>
      <c r="I1" t="s">
        <v>75</v>
      </c>
      <c r="J1" t="s">
        <v>472</v>
      </c>
      <c r="K1" t="s">
        <v>461</v>
      </c>
      <c r="L1" t="s">
        <v>649</v>
      </c>
      <c r="M1" t="s">
        <v>342</v>
      </c>
      <c r="N1" t="s">
        <v>471</v>
      </c>
      <c r="O1" t="s">
        <v>469</v>
      </c>
      <c r="P1" t="s">
        <v>475</v>
      </c>
      <c r="Q1" t="s">
        <v>476</v>
      </c>
      <c r="R1" t="s">
        <v>505</v>
      </c>
      <c r="S1" t="s">
        <v>310</v>
      </c>
      <c r="T1" s="14" t="s">
        <v>658</v>
      </c>
      <c r="U1" t="s">
        <v>659</v>
      </c>
      <c r="V1" t="s">
        <v>702</v>
      </c>
      <c r="W1" t="s">
        <v>705</v>
      </c>
      <c r="X1" t="s">
        <v>743</v>
      </c>
      <c r="Y1" t="s">
        <v>744</v>
      </c>
      <c r="Z1" t="s">
        <v>745</v>
      </c>
      <c r="AA1" t="s">
        <v>746</v>
      </c>
      <c r="AB1" t="s">
        <v>759</v>
      </c>
      <c r="AC1" t="s">
        <v>760</v>
      </c>
      <c r="AD1" t="s">
        <v>771</v>
      </c>
      <c r="AE1" t="s">
        <v>772</v>
      </c>
      <c r="AF1" t="s">
        <v>810</v>
      </c>
      <c r="AG1" t="s">
        <v>811</v>
      </c>
      <c r="AH1" t="s">
        <v>819</v>
      </c>
      <c r="AI1" t="s">
        <v>820</v>
      </c>
    </row>
    <row r="2" spans="1:35" x14ac:dyDescent="0.4">
      <c r="A2" t="s">
        <v>871</v>
      </c>
      <c r="B2" t="s">
        <v>11</v>
      </c>
      <c r="C2" t="s">
        <v>30</v>
      </c>
      <c r="D2" t="s">
        <v>29</v>
      </c>
      <c r="E2" t="s">
        <v>27</v>
      </c>
      <c r="F2">
        <v>156003</v>
      </c>
      <c r="G2">
        <v>1</v>
      </c>
      <c r="H2">
        <v>1000012</v>
      </c>
      <c r="I2" t="s">
        <v>76</v>
      </c>
      <c r="J2" t="s">
        <v>82</v>
      </c>
      <c r="K2">
        <v>1</v>
      </c>
      <c r="L2" t="s">
        <v>14</v>
      </c>
      <c r="M2" t="s">
        <v>344</v>
      </c>
      <c r="N2">
        <v>65</v>
      </c>
      <c r="O2" t="s">
        <v>468</v>
      </c>
      <c r="P2">
        <v>0</v>
      </c>
      <c r="Q2" t="s">
        <v>477</v>
      </c>
      <c r="R2">
        <v>0</v>
      </c>
      <c r="S2" t="s">
        <v>477</v>
      </c>
      <c r="T2" s="14" t="s">
        <v>794</v>
      </c>
      <c r="U2" t="s">
        <v>660</v>
      </c>
      <c r="V2" t="s">
        <v>27</v>
      </c>
      <c r="W2">
        <v>0</v>
      </c>
      <c r="X2" t="s">
        <v>27</v>
      </c>
      <c r="Y2">
        <v>0</v>
      </c>
      <c r="Z2" t="s">
        <v>27</v>
      </c>
      <c r="AA2">
        <v>0</v>
      </c>
      <c r="AB2" t="s">
        <v>27</v>
      </c>
      <c r="AC2">
        <v>0</v>
      </c>
      <c r="AD2" t="s">
        <v>27</v>
      </c>
      <c r="AE2">
        <v>0</v>
      </c>
      <c r="AF2" t="s">
        <v>812</v>
      </c>
      <c r="AG2">
        <v>0</v>
      </c>
      <c r="AH2" t="s">
        <v>27</v>
      </c>
      <c r="AI2">
        <v>0</v>
      </c>
    </row>
    <row r="3" spans="1:35" x14ac:dyDescent="0.4">
      <c r="A3" t="s">
        <v>872</v>
      </c>
      <c r="B3" t="s">
        <v>12</v>
      </c>
      <c r="C3" t="s">
        <v>31</v>
      </c>
      <c r="D3" t="s">
        <v>750</v>
      </c>
      <c r="E3" t="s">
        <v>462</v>
      </c>
      <c r="F3">
        <v>156203</v>
      </c>
      <c r="G3">
        <v>2</v>
      </c>
      <c r="H3">
        <v>3000010</v>
      </c>
      <c r="I3" t="s">
        <v>77</v>
      </c>
      <c r="J3" t="s">
        <v>83</v>
      </c>
      <c r="K3">
        <v>2</v>
      </c>
      <c r="L3" t="s">
        <v>739</v>
      </c>
      <c r="M3" t="s">
        <v>347</v>
      </c>
      <c r="O3" t="s">
        <v>740</v>
      </c>
      <c r="P3">
        <v>1</v>
      </c>
      <c r="Q3" t="s">
        <v>478</v>
      </c>
      <c r="R3">
        <v>9</v>
      </c>
      <c r="S3" t="s">
        <v>506</v>
      </c>
      <c r="T3" s="14" t="s">
        <v>720</v>
      </c>
      <c r="U3" t="s">
        <v>661</v>
      </c>
      <c r="V3" t="s">
        <v>703</v>
      </c>
      <c r="W3">
        <v>1</v>
      </c>
      <c r="X3" t="s">
        <v>781</v>
      </c>
      <c r="Y3">
        <v>1</v>
      </c>
      <c r="Z3" t="s">
        <v>747</v>
      </c>
      <c r="AA3">
        <v>1</v>
      </c>
      <c r="AB3" t="s">
        <v>761</v>
      </c>
      <c r="AC3">
        <v>1</v>
      </c>
      <c r="AD3" t="s">
        <v>776</v>
      </c>
      <c r="AE3">
        <v>15</v>
      </c>
      <c r="AF3" t="s">
        <v>813</v>
      </c>
      <c r="AG3">
        <v>1</v>
      </c>
      <c r="AH3" t="s">
        <v>821</v>
      </c>
      <c r="AI3">
        <v>1</v>
      </c>
    </row>
    <row r="4" spans="1:35" x14ac:dyDescent="0.4">
      <c r="A4" t="s">
        <v>873</v>
      </c>
      <c r="D4" t="s">
        <v>16</v>
      </c>
      <c r="E4" t="s">
        <v>15</v>
      </c>
      <c r="F4">
        <v>216004</v>
      </c>
      <c r="G4">
        <v>3</v>
      </c>
      <c r="H4">
        <v>5000017</v>
      </c>
      <c r="I4" t="s">
        <v>78</v>
      </c>
      <c r="J4" t="s">
        <v>466</v>
      </c>
      <c r="K4">
        <v>3</v>
      </c>
      <c r="L4" t="s">
        <v>343</v>
      </c>
      <c r="M4" t="s">
        <v>346</v>
      </c>
      <c r="N4">
        <v>15</v>
      </c>
      <c r="O4" t="s">
        <v>468</v>
      </c>
      <c r="P4">
        <v>2</v>
      </c>
      <c r="Q4" t="s">
        <v>479</v>
      </c>
      <c r="R4">
        <v>10</v>
      </c>
      <c r="S4" t="s">
        <v>507</v>
      </c>
      <c r="T4" s="14" t="s">
        <v>721</v>
      </c>
      <c r="U4" t="s">
        <v>662</v>
      </c>
      <c r="V4" t="s">
        <v>704</v>
      </c>
      <c r="W4">
        <v>2</v>
      </c>
      <c r="X4" t="s">
        <v>825</v>
      </c>
      <c r="Y4">
        <v>2</v>
      </c>
      <c r="Z4" t="s">
        <v>840</v>
      </c>
      <c r="AA4">
        <v>8</v>
      </c>
      <c r="AB4" t="s">
        <v>762</v>
      </c>
      <c r="AC4">
        <v>2</v>
      </c>
      <c r="AD4" t="s">
        <v>773</v>
      </c>
      <c r="AE4">
        <v>20</v>
      </c>
      <c r="AF4" t="s">
        <v>814</v>
      </c>
      <c r="AG4">
        <v>2</v>
      </c>
      <c r="AH4" t="s">
        <v>822</v>
      </c>
      <c r="AI4">
        <v>2</v>
      </c>
    </row>
    <row r="5" spans="1:35" x14ac:dyDescent="0.4">
      <c r="A5" t="s">
        <v>4</v>
      </c>
      <c r="B5" t="s">
        <v>465</v>
      </c>
      <c r="C5" t="s">
        <v>464</v>
      </c>
      <c r="D5" t="s">
        <v>17</v>
      </c>
      <c r="E5" t="s">
        <v>718</v>
      </c>
      <c r="F5">
        <v>216204</v>
      </c>
      <c r="G5">
        <v>4</v>
      </c>
      <c r="H5">
        <v>7000014</v>
      </c>
      <c r="I5" t="s">
        <v>79</v>
      </c>
      <c r="J5" t="s">
        <v>84</v>
      </c>
      <c r="K5">
        <v>4</v>
      </c>
      <c r="L5" t="s">
        <v>735</v>
      </c>
      <c r="M5" t="s">
        <v>654</v>
      </c>
      <c r="O5" t="s">
        <v>468</v>
      </c>
      <c r="P5">
        <v>3</v>
      </c>
      <c r="Q5" t="s">
        <v>480</v>
      </c>
      <c r="R5">
        <v>11</v>
      </c>
      <c r="S5" t="s">
        <v>508</v>
      </c>
      <c r="T5" s="14" t="s">
        <v>722</v>
      </c>
      <c r="U5" t="s">
        <v>663</v>
      </c>
      <c r="Z5" t="s">
        <v>856</v>
      </c>
      <c r="AA5">
        <v>7</v>
      </c>
      <c r="AD5" t="s">
        <v>774</v>
      </c>
      <c r="AE5">
        <v>25</v>
      </c>
      <c r="AF5" t="s">
        <v>836</v>
      </c>
      <c r="AG5">
        <v>3</v>
      </c>
      <c r="AH5" t="s">
        <v>817</v>
      </c>
      <c r="AI5">
        <v>3</v>
      </c>
    </row>
    <row r="6" spans="1:35" x14ac:dyDescent="0.4">
      <c r="A6" t="s">
        <v>874</v>
      </c>
      <c r="B6" t="s">
        <v>795</v>
      </c>
      <c r="C6" t="s">
        <v>798</v>
      </c>
      <c r="D6" t="s">
        <v>19</v>
      </c>
      <c r="E6" t="s">
        <v>18</v>
      </c>
      <c r="F6">
        <v>216304</v>
      </c>
      <c r="G6">
        <v>5</v>
      </c>
      <c r="H6">
        <v>11000010</v>
      </c>
      <c r="I6" t="s">
        <v>80</v>
      </c>
      <c r="J6" t="s">
        <v>345</v>
      </c>
      <c r="K6">
        <v>5</v>
      </c>
      <c r="L6" t="s">
        <v>675</v>
      </c>
      <c r="M6" t="s">
        <v>349</v>
      </c>
      <c r="N6">
        <v>179</v>
      </c>
      <c r="O6" t="s">
        <v>468</v>
      </c>
      <c r="P6">
        <v>4</v>
      </c>
      <c r="Q6" t="s">
        <v>481</v>
      </c>
      <c r="R6">
        <v>12</v>
      </c>
      <c r="S6" t="s">
        <v>509</v>
      </c>
      <c r="T6" s="14" t="s">
        <v>723</v>
      </c>
      <c r="U6" t="s">
        <v>664</v>
      </c>
      <c r="Z6" t="s">
        <v>81</v>
      </c>
      <c r="AA6">
        <v>2</v>
      </c>
      <c r="AD6" t="s">
        <v>775</v>
      </c>
      <c r="AE6">
        <v>31</v>
      </c>
      <c r="AF6" t="s">
        <v>837</v>
      </c>
      <c r="AG6">
        <v>4</v>
      </c>
      <c r="AH6" t="s">
        <v>818</v>
      </c>
      <c r="AI6">
        <v>4</v>
      </c>
    </row>
    <row r="7" spans="1:35" x14ac:dyDescent="0.4">
      <c r="A7" t="s">
        <v>875</v>
      </c>
      <c r="B7" t="s">
        <v>796</v>
      </c>
      <c r="C7" t="s">
        <v>797</v>
      </c>
      <c r="D7" t="s">
        <v>21</v>
      </c>
      <c r="E7" t="s">
        <v>20</v>
      </c>
      <c r="F7">
        <v>216404</v>
      </c>
      <c r="G7">
        <v>6</v>
      </c>
      <c r="H7">
        <v>15000015</v>
      </c>
      <c r="I7" t="s">
        <v>81</v>
      </c>
      <c r="J7" t="s">
        <v>85</v>
      </c>
      <c r="K7">
        <v>6</v>
      </c>
      <c r="L7" t="s">
        <v>650</v>
      </c>
      <c r="M7" t="s">
        <v>348</v>
      </c>
      <c r="O7" t="s">
        <v>648</v>
      </c>
      <c r="P7">
        <v>5</v>
      </c>
      <c r="Q7" t="s">
        <v>482</v>
      </c>
      <c r="R7">
        <v>13</v>
      </c>
      <c r="S7" t="s">
        <v>592</v>
      </c>
      <c r="T7" s="14" t="s">
        <v>724</v>
      </c>
      <c r="U7" t="s">
        <v>665</v>
      </c>
      <c r="Z7" t="s">
        <v>850</v>
      </c>
      <c r="AA7">
        <v>9</v>
      </c>
      <c r="AD7" t="s">
        <v>835</v>
      </c>
      <c r="AE7">
        <v>98</v>
      </c>
      <c r="AH7" t="s">
        <v>823</v>
      </c>
      <c r="AI7">
        <v>5</v>
      </c>
    </row>
    <row r="8" spans="1:35" x14ac:dyDescent="0.4">
      <c r="A8" t="s">
        <v>876</v>
      </c>
      <c r="D8" t="s">
        <v>23</v>
      </c>
      <c r="E8" t="s">
        <v>22</v>
      </c>
      <c r="F8">
        <v>305012</v>
      </c>
      <c r="G8">
        <v>7</v>
      </c>
      <c r="J8" t="s">
        <v>86</v>
      </c>
      <c r="K8">
        <v>7</v>
      </c>
      <c r="L8" t="s">
        <v>351</v>
      </c>
      <c r="M8" t="s">
        <v>350</v>
      </c>
      <c r="N8">
        <v>91</v>
      </c>
      <c r="O8" t="s">
        <v>473</v>
      </c>
      <c r="P8">
        <v>6</v>
      </c>
      <c r="Q8" t="s">
        <v>483</v>
      </c>
      <c r="R8">
        <v>14</v>
      </c>
      <c r="S8" t="s">
        <v>593</v>
      </c>
      <c r="T8" s="14" t="s">
        <v>725</v>
      </c>
      <c r="U8" t="s">
        <v>666</v>
      </c>
      <c r="Z8" t="s">
        <v>832</v>
      </c>
      <c r="AA8">
        <v>4</v>
      </c>
      <c r="AD8" t="s">
        <v>682</v>
      </c>
      <c r="AE8">
        <v>50</v>
      </c>
    </row>
    <row r="9" spans="1:35" x14ac:dyDescent="0.4">
      <c r="A9" t="s">
        <v>6</v>
      </c>
      <c r="D9" t="s">
        <v>28</v>
      </c>
      <c r="E9" t="s">
        <v>24</v>
      </c>
      <c r="F9">
        <v>301001</v>
      </c>
      <c r="G9">
        <v>8</v>
      </c>
      <c r="J9" t="s">
        <v>87</v>
      </c>
      <c r="K9">
        <v>8</v>
      </c>
      <c r="L9" t="s">
        <v>352</v>
      </c>
      <c r="M9" t="s">
        <v>354</v>
      </c>
      <c r="N9">
        <v>260</v>
      </c>
      <c r="O9" t="s">
        <v>473</v>
      </c>
      <c r="P9">
        <v>7</v>
      </c>
      <c r="Q9" t="s">
        <v>484</v>
      </c>
      <c r="R9">
        <v>15</v>
      </c>
      <c r="S9" t="s">
        <v>510</v>
      </c>
      <c r="T9" s="14" t="s">
        <v>726</v>
      </c>
      <c r="U9" t="s">
        <v>667</v>
      </c>
      <c r="Z9" t="s">
        <v>857</v>
      </c>
      <c r="AA9">
        <v>5</v>
      </c>
    </row>
    <row r="10" spans="1:35" x14ac:dyDescent="0.4">
      <c r="A10" t="s">
        <v>877</v>
      </c>
      <c r="D10" t="s">
        <v>26</v>
      </c>
      <c r="E10" t="s">
        <v>25</v>
      </c>
      <c r="F10">
        <v>301201</v>
      </c>
      <c r="G10">
        <v>9</v>
      </c>
      <c r="J10" t="s">
        <v>88</v>
      </c>
      <c r="K10">
        <v>9</v>
      </c>
      <c r="L10" t="s">
        <v>353</v>
      </c>
      <c r="M10" t="s">
        <v>355</v>
      </c>
      <c r="N10">
        <v>261</v>
      </c>
      <c r="O10" t="s">
        <v>473</v>
      </c>
      <c r="P10">
        <v>8</v>
      </c>
      <c r="Q10" t="s">
        <v>485</v>
      </c>
      <c r="R10">
        <v>16</v>
      </c>
      <c r="S10" t="s">
        <v>511</v>
      </c>
      <c r="T10" s="14" t="s">
        <v>727</v>
      </c>
      <c r="U10" t="s">
        <v>668</v>
      </c>
    </row>
    <row r="11" spans="1:35" x14ac:dyDescent="0.4">
      <c r="A11" t="s">
        <v>719</v>
      </c>
      <c r="F11">
        <v>301301</v>
      </c>
      <c r="G11">
        <v>10</v>
      </c>
      <c r="J11" t="s">
        <v>653</v>
      </c>
      <c r="K11">
        <v>10</v>
      </c>
      <c r="L11" t="s">
        <v>357</v>
      </c>
      <c r="M11" t="s">
        <v>356</v>
      </c>
      <c r="N11">
        <v>7</v>
      </c>
      <c r="O11" t="s">
        <v>473</v>
      </c>
      <c r="P11">
        <v>9</v>
      </c>
      <c r="Q11" t="s">
        <v>486</v>
      </c>
      <c r="R11">
        <v>17</v>
      </c>
      <c r="S11" t="s">
        <v>594</v>
      </c>
      <c r="T11" s="14" t="s">
        <v>728</v>
      </c>
      <c r="U11" t="s">
        <v>669</v>
      </c>
    </row>
    <row r="12" spans="1:35" x14ac:dyDescent="0.4">
      <c r="A12" t="s">
        <v>878</v>
      </c>
      <c r="F12">
        <v>301401</v>
      </c>
      <c r="G12">
        <v>11</v>
      </c>
      <c r="J12" t="s">
        <v>89</v>
      </c>
      <c r="K12">
        <v>11</v>
      </c>
      <c r="L12" t="s">
        <v>336</v>
      </c>
      <c r="M12" t="s">
        <v>358</v>
      </c>
      <c r="N12">
        <v>241</v>
      </c>
      <c r="O12" t="s">
        <v>473</v>
      </c>
      <c r="P12" t="s">
        <v>487</v>
      </c>
      <c r="Q12" t="s">
        <v>488</v>
      </c>
      <c r="R12">
        <v>18</v>
      </c>
      <c r="S12" t="s">
        <v>595</v>
      </c>
      <c r="T12" s="14" t="s">
        <v>729</v>
      </c>
      <c r="U12" t="s">
        <v>670</v>
      </c>
    </row>
    <row r="13" spans="1:35" x14ac:dyDescent="0.4">
      <c r="A13" t="s">
        <v>879</v>
      </c>
      <c r="F13">
        <v>301501</v>
      </c>
      <c r="G13">
        <v>12</v>
      </c>
      <c r="J13" t="s">
        <v>90</v>
      </c>
      <c r="K13">
        <v>12</v>
      </c>
      <c r="L13" t="s">
        <v>337</v>
      </c>
      <c r="M13" t="s">
        <v>359</v>
      </c>
      <c r="N13">
        <v>248</v>
      </c>
      <c r="O13" t="s">
        <v>473</v>
      </c>
      <c r="P13" t="s">
        <v>489</v>
      </c>
      <c r="Q13" t="s">
        <v>490</v>
      </c>
      <c r="R13">
        <v>19</v>
      </c>
      <c r="S13" t="s">
        <v>596</v>
      </c>
      <c r="T13" s="14" t="s">
        <v>730</v>
      </c>
      <c r="U13" t="s">
        <v>671</v>
      </c>
    </row>
    <row r="14" spans="1:35" x14ac:dyDescent="0.4">
      <c r="A14" t="s">
        <v>880</v>
      </c>
      <c r="F14">
        <v>157005</v>
      </c>
      <c r="G14">
        <v>13</v>
      </c>
      <c r="J14" t="s">
        <v>91</v>
      </c>
      <c r="K14">
        <v>13</v>
      </c>
      <c r="L14" t="s">
        <v>362</v>
      </c>
      <c r="M14" t="s">
        <v>360</v>
      </c>
      <c r="N14">
        <v>116</v>
      </c>
      <c r="O14" t="s">
        <v>473</v>
      </c>
      <c r="P14" t="s">
        <v>491</v>
      </c>
      <c r="Q14" t="s">
        <v>492</v>
      </c>
      <c r="R14">
        <v>20</v>
      </c>
      <c r="S14" t="s">
        <v>512</v>
      </c>
      <c r="T14" s="14" t="s">
        <v>731</v>
      </c>
      <c r="U14" t="s">
        <v>672</v>
      </c>
    </row>
    <row r="15" spans="1:35" x14ac:dyDescent="0.4">
      <c r="F15">
        <v>157205</v>
      </c>
      <c r="G15">
        <v>14</v>
      </c>
      <c r="J15" t="s">
        <v>467</v>
      </c>
      <c r="K15">
        <v>14</v>
      </c>
      <c r="L15" t="s">
        <v>363</v>
      </c>
      <c r="M15" t="s">
        <v>361</v>
      </c>
      <c r="N15">
        <v>115</v>
      </c>
      <c r="O15" t="s">
        <v>473</v>
      </c>
      <c r="P15" t="s">
        <v>493</v>
      </c>
      <c r="Q15" t="s">
        <v>494</v>
      </c>
      <c r="R15">
        <v>21</v>
      </c>
      <c r="S15" t="s">
        <v>597</v>
      </c>
      <c r="T15" s="14" t="s">
        <v>732</v>
      </c>
      <c r="U15" t="s">
        <v>673</v>
      </c>
    </row>
    <row r="16" spans="1:35" x14ac:dyDescent="0.4">
      <c r="F16">
        <v>157305</v>
      </c>
      <c r="G16">
        <v>15</v>
      </c>
      <c r="J16" t="s">
        <v>92</v>
      </c>
      <c r="K16">
        <v>15</v>
      </c>
      <c r="L16" t="s">
        <v>692</v>
      </c>
      <c r="M16" t="s">
        <v>693</v>
      </c>
      <c r="N16">
        <v>182</v>
      </c>
      <c r="O16" t="s">
        <v>473</v>
      </c>
      <c r="P16" t="s">
        <v>495</v>
      </c>
      <c r="Q16" t="s">
        <v>496</v>
      </c>
      <c r="R16">
        <v>22</v>
      </c>
      <c r="S16" t="s">
        <v>598</v>
      </c>
      <c r="T16" s="14" t="s">
        <v>733</v>
      </c>
      <c r="U16" t="s">
        <v>674</v>
      </c>
    </row>
    <row r="17" spans="6:20" x14ac:dyDescent="0.4">
      <c r="F17">
        <v>157405</v>
      </c>
      <c r="G17">
        <v>16</v>
      </c>
      <c r="J17" t="s">
        <v>93</v>
      </c>
      <c r="K17">
        <v>16</v>
      </c>
      <c r="L17" t="s">
        <v>366</v>
      </c>
      <c r="M17" t="s">
        <v>694</v>
      </c>
      <c r="N17">
        <v>185</v>
      </c>
      <c r="O17" t="s">
        <v>473</v>
      </c>
      <c r="P17" t="s">
        <v>497</v>
      </c>
      <c r="Q17" t="s">
        <v>498</v>
      </c>
      <c r="R17">
        <v>23</v>
      </c>
      <c r="S17" t="s">
        <v>599</v>
      </c>
      <c r="T17" s="14"/>
    </row>
    <row r="18" spans="6:20" x14ac:dyDescent="0.4">
      <c r="F18">
        <v>157505</v>
      </c>
      <c r="G18">
        <v>17</v>
      </c>
      <c r="J18" t="s">
        <v>94</v>
      </c>
      <c r="K18">
        <v>17</v>
      </c>
      <c r="L18" t="s">
        <v>367</v>
      </c>
      <c r="M18" t="s">
        <v>364</v>
      </c>
      <c r="N18">
        <v>8</v>
      </c>
      <c r="O18" t="s">
        <v>473</v>
      </c>
      <c r="P18" t="s">
        <v>499</v>
      </c>
      <c r="Q18" t="s">
        <v>500</v>
      </c>
      <c r="R18">
        <v>24</v>
      </c>
      <c r="S18" t="s">
        <v>600</v>
      </c>
      <c r="T18" s="14"/>
    </row>
    <row r="19" spans="6:20" x14ac:dyDescent="0.4">
      <c r="F19">
        <v>157605</v>
      </c>
      <c r="G19">
        <v>18</v>
      </c>
      <c r="J19" t="s">
        <v>95</v>
      </c>
      <c r="K19">
        <v>18</v>
      </c>
      <c r="L19" t="s">
        <v>752</v>
      </c>
      <c r="M19" t="s">
        <v>701</v>
      </c>
      <c r="N19">
        <v>15</v>
      </c>
      <c r="O19" t="s">
        <v>473</v>
      </c>
      <c r="P19" t="s">
        <v>501</v>
      </c>
      <c r="Q19" t="s">
        <v>502</v>
      </c>
      <c r="R19">
        <v>25</v>
      </c>
      <c r="S19" t="s">
        <v>601</v>
      </c>
      <c r="T19" s="14"/>
    </row>
    <row r="20" spans="6:20" x14ac:dyDescent="0.4">
      <c r="F20">
        <v>157705</v>
      </c>
      <c r="G20">
        <v>19</v>
      </c>
      <c r="J20" t="s">
        <v>96</v>
      </c>
      <c r="K20">
        <v>19</v>
      </c>
      <c r="L20" t="s">
        <v>368</v>
      </c>
      <c r="M20" t="s">
        <v>808</v>
      </c>
      <c r="N20">
        <v>127</v>
      </c>
      <c r="O20" t="s">
        <v>473</v>
      </c>
      <c r="P20" t="s">
        <v>503</v>
      </c>
      <c r="Q20" t="s">
        <v>504</v>
      </c>
      <c r="R20">
        <v>26</v>
      </c>
      <c r="S20" t="s">
        <v>602</v>
      </c>
      <c r="T20" s="14"/>
    </row>
    <row r="21" spans="6:20" x14ac:dyDescent="0.4">
      <c r="F21">
        <v>157004</v>
      </c>
      <c r="G21">
        <v>20</v>
      </c>
      <c r="J21" t="s">
        <v>97</v>
      </c>
      <c r="K21">
        <v>20</v>
      </c>
      <c r="L21" t="s">
        <v>369</v>
      </c>
      <c r="M21" t="s">
        <v>365</v>
      </c>
      <c r="N21">
        <v>9</v>
      </c>
      <c r="O21" t="s">
        <v>473</v>
      </c>
      <c r="R21">
        <v>27</v>
      </c>
      <c r="S21" t="s">
        <v>513</v>
      </c>
      <c r="T21" s="14"/>
    </row>
    <row r="22" spans="6:20" x14ac:dyDescent="0.4">
      <c r="F22">
        <v>157204</v>
      </c>
      <c r="G22">
        <v>21</v>
      </c>
      <c r="J22" t="s">
        <v>98</v>
      </c>
      <c r="K22">
        <v>21</v>
      </c>
      <c r="L22" t="s">
        <v>374</v>
      </c>
      <c r="M22" t="s">
        <v>370</v>
      </c>
      <c r="N22">
        <v>5</v>
      </c>
      <c r="O22" t="s">
        <v>473</v>
      </c>
      <c r="R22">
        <v>28</v>
      </c>
      <c r="T22" s="14"/>
    </row>
    <row r="23" spans="6:20" x14ac:dyDescent="0.4">
      <c r="F23">
        <v>157304</v>
      </c>
      <c r="G23">
        <v>22</v>
      </c>
      <c r="J23" t="s">
        <v>99</v>
      </c>
      <c r="K23">
        <v>22</v>
      </c>
      <c r="L23" t="s">
        <v>375</v>
      </c>
      <c r="M23" t="s">
        <v>371</v>
      </c>
      <c r="N23">
        <v>106</v>
      </c>
      <c r="O23" t="s">
        <v>473</v>
      </c>
      <c r="R23">
        <v>29</v>
      </c>
      <c r="S23" t="s">
        <v>603</v>
      </c>
      <c r="T23" s="14"/>
    </row>
    <row r="24" spans="6:20" x14ac:dyDescent="0.4">
      <c r="F24">
        <v>214001</v>
      </c>
      <c r="G24">
        <v>23</v>
      </c>
      <c r="J24" t="s">
        <v>100</v>
      </c>
      <c r="K24">
        <v>23</v>
      </c>
      <c r="L24" t="s">
        <v>376</v>
      </c>
      <c r="M24" t="s">
        <v>372</v>
      </c>
      <c r="N24">
        <v>107</v>
      </c>
      <c r="O24" t="s">
        <v>473</v>
      </c>
      <c r="R24">
        <v>30</v>
      </c>
      <c r="T24" s="14"/>
    </row>
    <row r="25" spans="6:20" x14ac:dyDescent="0.4">
      <c r="F25">
        <v>214201</v>
      </c>
      <c r="G25">
        <v>24</v>
      </c>
      <c r="J25" t="s">
        <v>101</v>
      </c>
      <c r="K25">
        <v>24</v>
      </c>
      <c r="L25" t="s">
        <v>377</v>
      </c>
      <c r="M25" t="s">
        <v>373</v>
      </c>
      <c r="N25">
        <v>108</v>
      </c>
      <c r="O25" t="s">
        <v>473</v>
      </c>
      <c r="R25">
        <v>31</v>
      </c>
      <c r="S25" t="s">
        <v>514</v>
      </c>
      <c r="T25" s="14"/>
    </row>
    <row r="26" spans="6:20" x14ac:dyDescent="0.4">
      <c r="F26">
        <v>214301</v>
      </c>
      <c r="G26">
        <v>25</v>
      </c>
      <c r="J26" t="s">
        <v>102</v>
      </c>
      <c r="K26">
        <v>25</v>
      </c>
      <c r="L26" t="s">
        <v>380</v>
      </c>
      <c r="M26" t="s">
        <v>378</v>
      </c>
      <c r="N26">
        <v>111</v>
      </c>
      <c r="O26" t="s">
        <v>473</v>
      </c>
      <c r="R26">
        <v>32</v>
      </c>
      <c r="T26" s="14"/>
    </row>
    <row r="27" spans="6:20" x14ac:dyDescent="0.4">
      <c r="F27">
        <v>224009</v>
      </c>
      <c r="G27">
        <v>26</v>
      </c>
      <c r="J27" t="s">
        <v>103</v>
      </c>
      <c r="K27">
        <v>26</v>
      </c>
      <c r="L27" t="s">
        <v>381</v>
      </c>
      <c r="M27" t="s">
        <v>379</v>
      </c>
      <c r="N27">
        <v>112</v>
      </c>
      <c r="O27" t="s">
        <v>473</v>
      </c>
      <c r="R27">
        <v>33</v>
      </c>
      <c r="S27" t="s">
        <v>515</v>
      </c>
      <c r="T27" s="14"/>
    </row>
    <row r="28" spans="6:20" x14ac:dyDescent="0.4">
      <c r="F28">
        <v>224209</v>
      </c>
      <c r="G28">
        <v>27</v>
      </c>
      <c r="J28" t="s">
        <v>104</v>
      </c>
      <c r="K28">
        <v>27</v>
      </c>
      <c r="M28" t="s">
        <v>382</v>
      </c>
      <c r="O28" t="s">
        <v>473</v>
      </c>
      <c r="R28">
        <v>34</v>
      </c>
      <c r="S28" t="s">
        <v>516</v>
      </c>
      <c r="T28" s="14"/>
    </row>
    <row r="29" spans="6:20" x14ac:dyDescent="0.4">
      <c r="F29">
        <v>224309</v>
      </c>
      <c r="G29">
        <v>28</v>
      </c>
      <c r="J29" t="s">
        <v>105</v>
      </c>
      <c r="K29">
        <v>28</v>
      </c>
      <c r="L29" t="s">
        <v>385</v>
      </c>
      <c r="M29" t="s">
        <v>383</v>
      </c>
      <c r="N29">
        <v>6</v>
      </c>
      <c r="O29" t="s">
        <v>473</v>
      </c>
      <c r="R29">
        <v>35</v>
      </c>
      <c r="S29" t="s">
        <v>517</v>
      </c>
      <c r="T29" s="14"/>
    </row>
    <row r="30" spans="6:20" x14ac:dyDescent="0.4">
      <c r="F30">
        <v>224409</v>
      </c>
      <c r="G30">
        <v>29</v>
      </c>
      <c r="J30" t="s">
        <v>106</v>
      </c>
      <c r="K30">
        <v>29</v>
      </c>
      <c r="L30" t="s">
        <v>386</v>
      </c>
      <c r="M30" t="s">
        <v>384</v>
      </c>
      <c r="N30">
        <v>44</v>
      </c>
      <c r="O30" t="s">
        <v>473</v>
      </c>
      <c r="R30">
        <v>36</v>
      </c>
      <c r="S30" t="s">
        <v>518</v>
      </c>
      <c r="T30" s="14"/>
    </row>
    <row r="31" spans="6:20" x14ac:dyDescent="0.4">
      <c r="F31">
        <v>204004</v>
      </c>
      <c r="G31">
        <v>30</v>
      </c>
      <c r="J31" t="s">
        <v>107</v>
      </c>
      <c r="K31">
        <v>30</v>
      </c>
      <c r="L31" t="s">
        <v>399</v>
      </c>
      <c r="M31" t="s">
        <v>387</v>
      </c>
      <c r="N31">
        <v>192</v>
      </c>
      <c r="O31" t="s">
        <v>473</v>
      </c>
      <c r="R31">
        <v>37</v>
      </c>
      <c r="S31" t="s">
        <v>604</v>
      </c>
      <c r="T31" s="14"/>
    </row>
    <row r="32" spans="6:20" x14ac:dyDescent="0.4">
      <c r="F32">
        <v>204204</v>
      </c>
      <c r="G32">
        <v>31</v>
      </c>
      <c r="J32" t="s">
        <v>108</v>
      </c>
      <c r="K32">
        <v>31</v>
      </c>
      <c r="L32" t="s">
        <v>400</v>
      </c>
      <c r="M32" t="s">
        <v>388</v>
      </c>
      <c r="N32">
        <v>124</v>
      </c>
      <c r="O32" t="s">
        <v>473</v>
      </c>
      <c r="R32">
        <v>38</v>
      </c>
      <c r="S32" t="s">
        <v>519</v>
      </c>
      <c r="T32" s="14"/>
    </row>
    <row r="33" spans="6:20" x14ac:dyDescent="0.4">
      <c r="F33">
        <v>204304</v>
      </c>
      <c r="G33">
        <v>32</v>
      </c>
      <c r="J33" t="s">
        <v>847</v>
      </c>
      <c r="K33">
        <v>32</v>
      </c>
      <c r="L33" t="s">
        <v>401</v>
      </c>
      <c r="M33" t="s">
        <v>389</v>
      </c>
      <c r="N33">
        <v>125</v>
      </c>
      <c r="O33" t="s">
        <v>473</v>
      </c>
      <c r="R33">
        <v>39</v>
      </c>
      <c r="S33" t="s">
        <v>520</v>
      </c>
      <c r="T33" s="14"/>
    </row>
    <row r="34" spans="6:20" x14ac:dyDescent="0.4">
      <c r="F34">
        <v>204404</v>
      </c>
      <c r="G34">
        <v>33</v>
      </c>
      <c r="J34" t="s">
        <v>109</v>
      </c>
      <c r="K34">
        <v>33</v>
      </c>
      <c r="L34" t="s">
        <v>402</v>
      </c>
      <c r="M34" t="s">
        <v>390</v>
      </c>
      <c r="N34">
        <v>126</v>
      </c>
      <c r="O34" t="s">
        <v>473</v>
      </c>
      <c r="R34">
        <v>40</v>
      </c>
      <c r="S34" t="s">
        <v>521</v>
      </c>
      <c r="T34" s="14"/>
    </row>
    <row r="35" spans="6:20" x14ac:dyDescent="0.4">
      <c r="F35">
        <v>210003</v>
      </c>
      <c r="G35">
        <v>34</v>
      </c>
      <c r="J35" t="s">
        <v>110</v>
      </c>
      <c r="K35">
        <v>34</v>
      </c>
      <c r="L35" t="s">
        <v>41</v>
      </c>
      <c r="M35" t="s">
        <v>391</v>
      </c>
      <c r="N35">
        <v>145</v>
      </c>
      <c r="O35" t="s">
        <v>473</v>
      </c>
      <c r="R35">
        <v>41</v>
      </c>
      <c r="S35" t="s">
        <v>605</v>
      </c>
      <c r="T35" s="14"/>
    </row>
    <row r="36" spans="6:20" x14ac:dyDescent="0.4">
      <c r="F36">
        <v>210203</v>
      </c>
      <c r="G36">
        <v>35</v>
      </c>
      <c r="J36" t="s">
        <v>111</v>
      </c>
      <c r="K36">
        <v>35</v>
      </c>
      <c r="L36" t="s">
        <v>42</v>
      </c>
      <c r="M36" t="s">
        <v>392</v>
      </c>
      <c r="N36">
        <v>143</v>
      </c>
      <c r="O36" t="s">
        <v>473</v>
      </c>
      <c r="R36">
        <v>42</v>
      </c>
      <c r="S36" t="s">
        <v>606</v>
      </c>
      <c r="T36" s="14"/>
    </row>
    <row r="37" spans="6:20" x14ac:dyDescent="0.4">
      <c r="F37">
        <v>210303</v>
      </c>
      <c r="G37">
        <v>36</v>
      </c>
      <c r="J37" t="s">
        <v>332</v>
      </c>
      <c r="K37">
        <v>36</v>
      </c>
      <c r="L37" t="s">
        <v>403</v>
      </c>
      <c r="M37" t="s">
        <v>393</v>
      </c>
      <c r="N37">
        <v>141</v>
      </c>
      <c r="O37" t="s">
        <v>473</v>
      </c>
      <c r="R37">
        <v>43</v>
      </c>
      <c r="S37" t="s">
        <v>607</v>
      </c>
      <c r="T37" s="14"/>
    </row>
    <row r="38" spans="6:20" x14ac:dyDescent="0.4">
      <c r="F38">
        <v>210403</v>
      </c>
      <c r="G38">
        <v>37</v>
      </c>
      <c r="J38" t="s">
        <v>112</v>
      </c>
      <c r="K38">
        <v>37</v>
      </c>
      <c r="L38" t="s">
        <v>44</v>
      </c>
      <c r="M38" t="s">
        <v>394</v>
      </c>
      <c r="N38">
        <v>142</v>
      </c>
      <c r="O38" t="s">
        <v>473</v>
      </c>
      <c r="R38">
        <v>44</v>
      </c>
      <c r="T38" s="14"/>
    </row>
    <row r="39" spans="6:20" x14ac:dyDescent="0.4">
      <c r="F39">
        <v>203004</v>
      </c>
      <c r="G39">
        <v>38</v>
      </c>
      <c r="J39" t="s">
        <v>113</v>
      </c>
      <c r="K39">
        <v>38</v>
      </c>
      <c r="L39" t="s">
        <v>404</v>
      </c>
      <c r="M39" t="s">
        <v>395</v>
      </c>
      <c r="N39">
        <v>144</v>
      </c>
      <c r="O39" t="s">
        <v>473</v>
      </c>
      <c r="R39">
        <v>45</v>
      </c>
      <c r="S39" t="s">
        <v>608</v>
      </c>
      <c r="T39" s="14"/>
    </row>
    <row r="40" spans="6:20" x14ac:dyDescent="0.4">
      <c r="F40">
        <v>203204</v>
      </c>
      <c r="G40">
        <v>39</v>
      </c>
      <c r="J40" t="s">
        <v>114</v>
      </c>
      <c r="K40">
        <v>39</v>
      </c>
      <c r="L40" t="s">
        <v>46</v>
      </c>
      <c r="M40" t="s">
        <v>396</v>
      </c>
      <c r="N40">
        <v>245</v>
      </c>
      <c r="O40" t="s">
        <v>473</v>
      </c>
      <c r="R40">
        <v>46</v>
      </c>
      <c r="S40" t="s">
        <v>609</v>
      </c>
      <c r="T40" s="14"/>
    </row>
    <row r="41" spans="6:20" x14ac:dyDescent="0.4">
      <c r="F41">
        <v>203304</v>
      </c>
      <c r="G41">
        <v>40</v>
      </c>
      <c r="J41" t="s">
        <v>115</v>
      </c>
      <c r="K41">
        <v>40</v>
      </c>
      <c r="L41" t="s">
        <v>405</v>
      </c>
      <c r="M41" t="s">
        <v>397</v>
      </c>
      <c r="N41">
        <v>120</v>
      </c>
      <c r="O41" t="s">
        <v>473</v>
      </c>
      <c r="R41">
        <v>47</v>
      </c>
      <c r="S41" t="s">
        <v>522</v>
      </c>
      <c r="T41" s="14"/>
    </row>
    <row r="42" spans="6:20" x14ac:dyDescent="0.4">
      <c r="F42">
        <v>203404</v>
      </c>
      <c r="G42">
        <v>41</v>
      </c>
      <c r="J42" t="s">
        <v>116</v>
      </c>
      <c r="K42">
        <v>41</v>
      </c>
      <c r="L42" t="s">
        <v>406</v>
      </c>
      <c r="M42" t="s">
        <v>398</v>
      </c>
      <c r="N42">
        <v>121</v>
      </c>
      <c r="O42" t="s">
        <v>473</v>
      </c>
      <c r="R42">
        <v>48</v>
      </c>
      <c r="T42" s="14"/>
    </row>
    <row r="43" spans="6:20" x14ac:dyDescent="0.4">
      <c r="F43">
        <v>203504</v>
      </c>
      <c r="G43">
        <v>42</v>
      </c>
      <c r="J43" t="s">
        <v>117</v>
      </c>
      <c r="K43">
        <v>42</v>
      </c>
      <c r="O43" t="s">
        <v>470</v>
      </c>
      <c r="R43">
        <v>49</v>
      </c>
      <c r="S43" t="s">
        <v>610</v>
      </c>
      <c r="T43" s="14"/>
    </row>
    <row r="44" spans="6:20" x14ac:dyDescent="0.4">
      <c r="F44">
        <v>227006</v>
      </c>
      <c r="G44">
        <v>43</v>
      </c>
      <c r="J44" t="s">
        <v>118</v>
      </c>
      <c r="K44">
        <v>43</v>
      </c>
      <c r="L44" t="s">
        <v>716</v>
      </c>
      <c r="M44" t="s">
        <v>407</v>
      </c>
      <c r="N44">
        <v>219</v>
      </c>
      <c r="O44" t="s">
        <v>470</v>
      </c>
      <c r="R44">
        <v>50</v>
      </c>
      <c r="S44" t="s">
        <v>611</v>
      </c>
      <c r="T44" s="14"/>
    </row>
    <row r="45" spans="6:20" x14ac:dyDescent="0.4">
      <c r="F45">
        <v>227206</v>
      </c>
      <c r="G45">
        <v>44</v>
      </c>
      <c r="J45" t="s">
        <v>119</v>
      </c>
      <c r="K45">
        <v>44</v>
      </c>
      <c r="L45" t="s">
        <v>717</v>
      </c>
      <c r="M45" t="s">
        <v>408</v>
      </c>
      <c r="N45">
        <v>216</v>
      </c>
      <c r="O45" t="s">
        <v>470</v>
      </c>
      <c r="R45">
        <v>51</v>
      </c>
      <c r="S45" t="s">
        <v>523</v>
      </c>
      <c r="T45" s="14"/>
    </row>
    <row r="46" spans="6:20" x14ac:dyDescent="0.4">
      <c r="F46">
        <v>227306</v>
      </c>
      <c r="G46">
        <v>45</v>
      </c>
      <c r="J46" t="s">
        <v>120</v>
      </c>
      <c r="K46">
        <v>45</v>
      </c>
      <c r="L46" t="s">
        <v>734</v>
      </c>
      <c r="M46" t="s">
        <v>809</v>
      </c>
      <c r="N46">
        <v>18</v>
      </c>
      <c r="O46" t="s">
        <v>470</v>
      </c>
      <c r="R46">
        <v>52</v>
      </c>
      <c r="S46" t="s">
        <v>524</v>
      </c>
      <c r="T46" s="14"/>
    </row>
    <row r="47" spans="6:20" x14ac:dyDescent="0.4">
      <c r="F47">
        <v>227406</v>
      </c>
      <c r="G47">
        <v>46</v>
      </c>
      <c r="J47" t="s">
        <v>121</v>
      </c>
      <c r="K47">
        <v>46</v>
      </c>
      <c r="L47" t="s">
        <v>412</v>
      </c>
      <c r="M47" t="s">
        <v>409</v>
      </c>
      <c r="N47">
        <v>240</v>
      </c>
      <c r="O47" t="s">
        <v>470</v>
      </c>
      <c r="R47">
        <v>53</v>
      </c>
      <c r="S47" t="s">
        <v>612</v>
      </c>
      <c r="T47" s="14"/>
    </row>
    <row r="48" spans="6:20" x14ac:dyDescent="0.4">
      <c r="F48">
        <v>227506</v>
      </c>
      <c r="G48">
        <v>47</v>
      </c>
      <c r="J48" t="s">
        <v>122</v>
      </c>
      <c r="K48">
        <v>47</v>
      </c>
      <c r="L48" t="s">
        <v>413</v>
      </c>
      <c r="M48" t="s">
        <v>410</v>
      </c>
      <c r="N48">
        <v>194</v>
      </c>
      <c r="O48" t="s">
        <v>470</v>
      </c>
      <c r="R48">
        <v>54</v>
      </c>
      <c r="S48" t="s">
        <v>613</v>
      </c>
      <c r="T48" s="14"/>
    </row>
    <row r="49" spans="6:20" x14ac:dyDescent="0.4">
      <c r="F49">
        <v>305014</v>
      </c>
      <c r="G49">
        <v>48</v>
      </c>
      <c r="J49" t="s">
        <v>123</v>
      </c>
      <c r="K49">
        <v>48</v>
      </c>
      <c r="L49" t="s">
        <v>414</v>
      </c>
      <c r="M49" t="s">
        <v>411</v>
      </c>
      <c r="N49">
        <v>196</v>
      </c>
      <c r="O49" t="s">
        <v>470</v>
      </c>
      <c r="R49">
        <v>55</v>
      </c>
      <c r="S49" t="s">
        <v>614</v>
      </c>
      <c r="T49" s="14"/>
    </row>
    <row r="50" spans="6:20" x14ac:dyDescent="0.4">
      <c r="F50">
        <v>224009</v>
      </c>
      <c r="G50">
        <v>49</v>
      </c>
      <c r="J50" t="s">
        <v>124</v>
      </c>
      <c r="K50">
        <v>49</v>
      </c>
      <c r="L50" t="s">
        <v>420</v>
      </c>
      <c r="M50" t="s">
        <v>415</v>
      </c>
      <c r="N50">
        <v>3</v>
      </c>
      <c r="O50" t="s">
        <v>470</v>
      </c>
      <c r="R50">
        <v>56</v>
      </c>
      <c r="T50" s="14"/>
    </row>
    <row r="51" spans="6:20" x14ac:dyDescent="0.4">
      <c r="J51" t="s">
        <v>125</v>
      </c>
      <c r="K51">
        <v>50</v>
      </c>
      <c r="L51" t="s">
        <v>421</v>
      </c>
      <c r="M51" t="s">
        <v>416</v>
      </c>
      <c r="N51">
        <v>25</v>
      </c>
      <c r="O51" t="s">
        <v>470</v>
      </c>
      <c r="R51">
        <v>57</v>
      </c>
      <c r="S51" t="s">
        <v>615</v>
      </c>
      <c r="T51" s="14"/>
    </row>
    <row r="52" spans="6:20" x14ac:dyDescent="0.4">
      <c r="J52" t="s">
        <v>126</v>
      </c>
      <c r="K52">
        <v>51</v>
      </c>
      <c r="L52" t="s">
        <v>54</v>
      </c>
      <c r="M52" t="s">
        <v>417</v>
      </c>
      <c r="N52">
        <v>11</v>
      </c>
      <c r="O52" t="s">
        <v>470</v>
      </c>
      <c r="R52">
        <v>58</v>
      </c>
      <c r="S52" t="s">
        <v>525</v>
      </c>
      <c r="T52" s="14"/>
    </row>
    <row r="53" spans="6:20" x14ac:dyDescent="0.4">
      <c r="J53" t="s">
        <v>127</v>
      </c>
      <c r="K53">
        <v>52</v>
      </c>
      <c r="L53" t="s">
        <v>422</v>
      </c>
      <c r="M53" t="s">
        <v>418</v>
      </c>
      <c r="N53">
        <v>28</v>
      </c>
      <c r="O53" t="s">
        <v>470</v>
      </c>
      <c r="R53">
        <v>59</v>
      </c>
      <c r="S53" t="s">
        <v>526</v>
      </c>
      <c r="T53" s="14"/>
    </row>
    <row r="54" spans="6:20" x14ac:dyDescent="0.4">
      <c r="J54" t="s">
        <v>128</v>
      </c>
      <c r="K54">
        <v>53</v>
      </c>
      <c r="L54" t="s">
        <v>423</v>
      </c>
      <c r="M54" t="s">
        <v>419</v>
      </c>
      <c r="N54">
        <v>199</v>
      </c>
      <c r="O54" t="s">
        <v>470</v>
      </c>
      <c r="R54">
        <v>60</v>
      </c>
      <c r="T54" s="14"/>
    </row>
    <row r="55" spans="6:20" x14ac:dyDescent="0.4">
      <c r="J55" t="s">
        <v>129</v>
      </c>
      <c r="K55">
        <v>54</v>
      </c>
      <c r="L55" t="s">
        <v>428</v>
      </c>
      <c r="M55" t="s">
        <v>425</v>
      </c>
      <c r="N55">
        <v>187</v>
      </c>
      <c r="O55" t="s">
        <v>470</v>
      </c>
      <c r="R55">
        <v>61</v>
      </c>
      <c r="S55" t="s">
        <v>527</v>
      </c>
      <c r="T55" s="14"/>
    </row>
    <row r="56" spans="6:20" x14ac:dyDescent="0.4">
      <c r="J56" t="s">
        <v>130</v>
      </c>
      <c r="K56">
        <v>55</v>
      </c>
      <c r="L56" t="s">
        <v>59</v>
      </c>
      <c r="M56" t="s">
        <v>426</v>
      </c>
      <c r="N56">
        <v>29</v>
      </c>
      <c r="O56" t="s">
        <v>470</v>
      </c>
      <c r="R56">
        <v>62</v>
      </c>
      <c r="S56" t="s">
        <v>528</v>
      </c>
      <c r="T56" s="14"/>
    </row>
    <row r="57" spans="6:20" x14ac:dyDescent="0.4">
      <c r="J57" t="s">
        <v>131</v>
      </c>
      <c r="K57">
        <v>56</v>
      </c>
      <c r="L57" t="s">
        <v>429</v>
      </c>
      <c r="M57" t="s">
        <v>427</v>
      </c>
      <c r="N57">
        <v>205</v>
      </c>
      <c r="O57" t="s">
        <v>470</v>
      </c>
      <c r="R57">
        <v>63</v>
      </c>
      <c r="S57" t="s">
        <v>616</v>
      </c>
      <c r="T57" s="14"/>
    </row>
    <row r="58" spans="6:20" x14ac:dyDescent="0.4">
      <c r="J58" t="s">
        <v>132</v>
      </c>
      <c r="K58">
        <v>57</v>
      </c>
      <c r="L58" t="s">
        <v>57</v>
      </c>
      <c r="M58" t="s">
        <v>433</v>
      </c>
      <c r="N58">
        <v>10</v>
      </c>
      <c r="O58" t="s">
        <v>470</v>
      </c>
      <c r="R58">
        <v>64</v>
      </c>
      <c r="T58" s="14"/>
    </row>
    <row r="59" spans="6:20" x14ac:dyDescent="0.4">
      <c r="J59" t="s">
        <v>133</v>
      </c>
      <c r="K59">
        <v>58</v>
      </c>
      <c r="L59" t="s">
        <v>430</v>
      </c>
      <c r="M59" t="s">
        <v>434</v>
      </c>
      <c r="N59">
        <v>19</v>
      </c>
      <c r="O59" t="s">
        <v>470</v>
      </c>
      <c r="R59">
        <v>65</v>
      </c>
      <c r="S59" t="s">
        <v>529</v>
      </c>
      <c r="T59" s="14"/>
    </row>
    <row r="60" spans="6:20" x14ac:dyDescent="0.4">
      <c r="J60" t="s">
        <v>134</v>
      </c>
      <c r="K60">
        <v>59</v>
      </c>
      <c r="L60" t="s">
        <v>431</v>
      </c>
      <c r="M60" t="s">
        <v>435</v>
      </c>
      <c r="N60">
        <v>22</v>
      </c>
      <c r="O60" t="s">
        <v>470</v>
      </c>
      <c r="R60">
        <v>66</v>
      </c>
      <c r="S60" t="s">
        <v>530</v>
      </c>
      <c r="T60" s="14"/>
    </row>
    <row r="61" spans="6:20" x14ac:dyDescent="0.4">
      <c r="J61" t="s">
        <v>135</v>
      </c>
      <c r="K61">
        <v>60</v>
      </c>
      <c r="L61" t="s">
        <v>432</v>
      </c>
      <c r="M61" t="s">
        <v>651</v>
      </c>
      <c r="N61">
        <v>233</v>
      </c>
      <c r="O61" t="s">
        <v>470</v>
      </c>
      <c r="R61">
        <v>67</v>
      </c>
      <c r="S61" t="s">
        <v>531</v>
      </c>
      <c r="T61" s="14"/>
    </row>
    <row r="62" spans="6:20" x14ac:dyDescent="0.4">
      <c r="J62" t="s">
        <v>136</v>
      </c>
      <c r="K62">
        <v>61</v>
      </c>
      <c r="L62" t="s">
        <v>842</v>
      </c>
      <c r="M62" t="s">
        <v>841</v>
      </c>
      <c r="N62">
        <v>32</v>
      </c>
      <c r="O62" t="s">
        <v>470</v>
      </c>
      <c r="R62">
        <v>68</v>
      </c>
      <c r="T62" s="14"/>
    </row>
    <row r="63" spans="6:20" x14ac:dyDescent="0.4">
      <c r="J63" t="s">
        <v>137</v>
      </c>
      <c r="K63">
        <v>62</v>
      </c>
      <c r="M63" t="s">
        <v>436</v>
      </c>
      <c r="O63" t="s">
        <v>470</v>
      </c>
      <c r="R63">
        <v>69</v>
      </c>
      <c r="S63" t="s">
        <v>617</v>
      </c>
      <c r="T63" s="14"/>
    </row>
    <row r="64" spans="6:20" x14ac:dyDescent="0.4">
      <c r="J64" t="s">
        <v>138</v>
      </c>
      <c r="K64">
        <v>63</v>
      </c>
      <c r="M64" t="s">
        <v>437</v>
      </c>
      <c r="O64" t="s">
        <v>470</v>
      </c>
      <c r="R64">
        <v>70</v>
      </c>
      <c r="S64" t="s">
        <v>618</v>
      </c>
      <c r="T64" s="14"/>
    </row>
    <row r="65" spans="10:20" x14ac:dyDescent="0.4">
      <c r="J65" t="s">
        <v>139</v>
      </c>
      <c r="K65">
        <v>64</v>
      </c>
      <c r="L65" t="s">
        <v>643</v>
      </c>
      <c r="M65" t="s">
        <v>438</v>
      </c>
      <c r="N65">
        <v>12</v>
      </c>
      <c r="O65" t="s">
        <v>470</v>
      </c>
      <c r="R65">
        <v>71</v>
      </c>
      <c r="S65" t="s">
        <v>532</v>
      </c>
      <c r="T65" s="14"/>
    </row>
    <row r="66" spans="10:20" x14ac:dyDescent="0.4">
      <c r="J66" t="s">
        <v>140</v>
      </c>
      <c r="K66">
        <v>65</v>
      </c>
      <c r="L66" t="s">
        <v>652</v>
      </c>
      <c r="M66" t="s">
        <v>439</v>
      </c>
      <c r="N66">
        <v>257</v>
      </c>
      <c r="O66" t="s">
        <v>470</v>
      </c>
      <c r="R66">
        <v>72</v>
      </c>
      <c r="T66" s="14"/>
    </row>
    <row r="67" spans="10:20" x14ac:dyDescent="0.4">
      <c r="J67" t="s">
        <v>141</v>
      </c>
      <c r="K67">
        <v>66</v>
      </c>
      <c r="L67" t="s">
        <v>446</v>
      </c>
      <c r="M67" t="s">
        <v>440</v>
      </c>
      <c r="N67">
        <v>197</v>
      </c>
      <c r="O67" t="s">
        <v>470</v>
      </c>
      <c r="R67">
        <v>73</v>
      </c>
      <c r="S67" t="s">
        <v>533</v>
      </c>
      <c r="T67" s="14"/>
    </row>
    <row r="68" spans="10:20" x14ac:dyDescent="0.4">
      <c r="J68" t="s">
        <v>142</v>
      </c>
      <c r="K68">
        <v>67</v>
      </c>
      <c r="L68" t="s">
        <v>449</v>
      </c>
      <c r="M68" t="s">
        <v>441</v>
      </c>
      <c r="N68">
        <v>198</v>
      </c>
      <c r="O68" t="s">
        <v>470</v>
      </c>
      <c r="R68">
        <v>74</v>
      </c>
      <c r="S68" t="s">
        <v>534</v>
      </c>
      <c r="T68" s="14"/>
    </row>
    <row r="69" spans="10:20" x14ac:dyDescent="0.4">
      <c r="J69" t="s">
        <v>143</v>
      </c>
      <c r="K69">
        <v>68</v>
      </c>
      <c r="L69" t="s">
        <v>447</v>
      </c>
      <c r="M69" t="s">
        <v>442</v>
      </c>
      <c r="N69">
        <v>200</v>
      </c>
      <c r="O69" t="s">
        <v>470</v>
      </c>
      <c r="R69">
        <v>75</v>
      </c>
      <c r="S69" t="s">
        <v>535</v>
      </c>
      <c r="T69" s="14"/>
    </row>
    <row r="70" spans="10:20" x14ac:dyDescent="0.4">
      <c r="J70" t="s">
        <v>144</v>
      </c>
      <c r="K70">
        <v>69</v>
      </c>
      <c r="L70" t="s">
        <v>448</v>
      </c>
      <c r="M70" t="s">
        <v>443</v>
      </c>
      <c r="N70">
        <v>206</v>
      </c>
      <c r="O70" t="s">
        <v>470</v>
      </c>
      <c r="R70">
        <v>76</v>
      </c>
      <c r="S70" t="s">
        <v>619</v>
      </c>
      <c r="T70" s="14"/>
    </row>
    <row r="71" spans="10:20" x14ac:dyDescent="0.4">
      <c r="J71" t="s">
        <v>145</v>
      </c>
      <c r="K71">
        <v>70</v>
      </c>
      <c r="L71" t="s">
        <v>451</v>
      </c>
      <c r="M71" t="s">
        <v>444</v>
      </c>
      <c r="N71">
        <v>208</v>
      </c>
      <c r="O71" t="s">
        <v>470</v>
      </c>
      <c r="R71">
        <v>77</v>
      </c>
      <c r="S71" t="s">
        <v>620</v>
      </c>
      <c r="T71" s="14"/>
    </row>
    <row r="72" spans="10:20" x14ac:dyDescent="0.4">
      <c r="J72" t="s">
        <v>146</v>
      </c>
      <c r="K72">
        <v>71</v>
      </c>
      <c r="L72" t="s">
        <v>450</v>
      </c>
      <c r="M72" t="s">
        <v>445</v>
      </c>
      <c r="N72">
        <v>209</v>
      </c>
      <c r="O72" t="s">
        <v>470</v>
      </c>
      <c r="R72">
        <v>78</v>
      </c>
      <c r="S72" t="s">
        <v>536</v>
      </c>
      <c r="T72" s="14"/>
    </row>
    <row r="73" spans="10:20" x14ac:dyDescent="0.4">
      <c r="J73" t="s">
        <v>147</v>
      </c>
      <c r="K73">
        <v>72</v>
      </c>
      <c r="M73" t="s">
        <v>452</v>
      </c>
      <c r="O73" t="s">
        <v>470</v>
      </c>
      <c r="R73">
        <v>79</v>
      </c>
      <c r="S73" t="s">
        <v>621</v>
      </c>
      <c r="T73" s="14"/>
    </row>
    <row r="74" spans="10:20" x14ac:dyDescent="0.4">
      <c r="J74" t="s">
        <v>148</v>
      </c>
      <c r="K74">
        <v>73</v>
      </c>
      <c r="L74" t="s">
        <v>456</v>
      </c>
      <c r="M74" t="s">
        <v>453</v>
      </c>
      <c r="N74">
        <v>246</v>
      </c>
      <c r="O74" t="s">
        <v>470</v>
      </c>
      <c r="R74">
        <v>80</v>
      </c>
      <c r="S74" t="s">
        <v>622</v>
      </c>
      <c r="T74" s="14"/>
    </row>
    <row r="75" spans="10:20" x14ac:dyDescent="0.4">
      <c r="J75" t="s">
        <v>149</v>
      </c>
      <c r="K75">
        <v>74</v>
      </c>
      <c r="L75" t="s">
        <v>457</v>
      </c>
      <c r="M75" t="s">
        <v>454</v>
      </c>
      <c r="N75">
        <v>239</v>
      </c>
      <c r="O75" t="s">
        <v>470</v>
      </c>
      <c r="R75">
        <v>81</v>
      </c>
      <c r="S75" t="s">
        <v>623</v>
      </c>
      <c r="T75" s="14"/>
    </row>
    <row r="76" spans="10:20" x14ac:dyDescent="0.4">
      <c r="J76" t="s">
        <v>150</v>
      </c>
      <c r="K76">
        <v>75</v>
      </c>
      <c r="L76" t="s">
        <v>458</v>
      </c>
      <c r="M76" t="s">
        <v>455</v>
      </c>
      <c r="N76">
        <v>237</v>
      </c>
      <c r="O76" t="s">
        <v>470</v>
      </c>
      <c r="R76">
        <v>82</v>
      </c>
      <c r="S76" t="s">
        <v>624</v>
      </c>
      <c r="T76" s="14"/>
    </row>
    <row r="77" spans="10:20" x14ac:dyDescent="0.4">
      <c r="J77" t="s">
        <v>151</v>
      </c>
      <c r="K77">
        <v>76</v>
      </c>
      <c r="L77" t="s">
        <v>646</v>
      </c>
      <c r="M77" t="s">
        <v>436</v>
      </c>
      <c r="N77">
        <v>13</v>
      </c>
      <c r="O77" t="s">
        <v>470</v>
      </c>
      <c r="R77">
        <v>83</v>
      </c>
      <c r="S77" t="s">
        <v>625</v>
      </c>
      <c r="T77" s="14"/>
    </row>
    <row r="78" spans="10:20" x14ac:dyDescent="0.4">
      <c r="J78" t="s">
        <v>152</v>
      </c>
      <c r="K78">
        <v>77</v>
      </c>
      <c r="L78" t="s">
        <v>645</v>
      </c>
      <c r="M78" t="s">
        <v>437</v>
      </c>
      <c r="N78">
        <v>210</v>
      </c>
      <c r="O78" t="s">
        <v>470</v>
      </c>
      <c r="R78">
        <v>84</v>
      </c>
      <c r="S78" t="s">
        <v>537</v>
      </c>
      <c r="T78" s="14"/>
    </row>
    <row r="79" spans="10:20" x14ac:dyDescent="0.4">
      <c r="J79" t="s">
        <v>153</v>
      </c>
      <c r="K79">
        <v>78</v>
      </c>
      <c r="L79" t="s">
        <v>647</v>
      </c>
      <c r="M79" t="s">
        <v>438</v>
      </c>
      <c r="N79">
        <v>211</v>
      </c>
      <c r="O79" t="s">
        <v>470</v>
      </c>
      <c r="R79">
        <v>85</v>
      </c>
      <c r="S79" t="s">
        <v>626</v>
      </c>
      <c r="T79" s="14"/>
    </row>
    <row r="80" spans="10:20" x14ac:dyDescent="0.4">
      <c r="J80" t="s">
        <v>154</v>
      </c>
      <c r="K80">
        <v>79</v>
      </c>
      <c r="L80" t="s">
        <v>738</v>
      </c>
      <c r="M80" t="s">
        <v>737</v>
      </c>
      <c r="N80">
        <v>202</v>
      </c>
      <c r="O80" t="s">
        <v>470</v>
      </c>
      <c r="R80">
        <v>86</v>
      </c>
      <c r="T80" s="14"/>
    </row>
    <row r="81" spans="10:20" x14ac:dyDescent="0.4">
      <c r="J81" t="s">
        <v>155</v>
      </c>
      <c r="K81">
        <v>80</v>
      </c>
      <c r="L81" t="s">
        <v>460</v>
      </c>
      <c r="M81" t="s">
        <v>459</v>
      </c>
      <c r="O81" t="s">
        <v>644</v>
      </c>
      <c r="R81">
        <v>87</v>
      </c>
      <c r="T81" s="14"/>
    </row>
    <row r="82" spans="10:20" x14ac:dyDescent="0.4">
      <c r="J82" t="s">
        <v>156</v>
      </c>
      <c r="K82">
        <v>81</v>
      </c>
      <c r="R82">
        <v>88</v>
      </c>
      <c r="T82" s="14"/>
    </row>
    <row r="83" spans="10:20" x14ac:dyDescent="0.4">
      <c r="J83" t="s">
        <v>157</v>
      </c>
      <c r="K83">
        <v>82</v>
      </c>
      <c r="R83">
        <v>89</v>
      </c>
      <c r="T83" s="14"/>
    </row>
    <row r="84" spans="10:20" x14ac:dyDescent="0.4">
      <c r="J84" t="s">
        <v>158</v>
      </c>
      <c r="K84">
        <v>83</v>
      </c>
      <c r="R84">
        <v>90</v>
      </c>
      <c r="T84" s="14"/>
    </row>
    <row r="85" spans="10:20" x14ac:dyDescent="0.4">
      <c r="J85" t="s">
        <v>159</v>
      </c>
      <c r="K85">
        <v>84</v>
      </c>
      <c r="R85">
        <v>91</v>
      </c>
      <c r="T85" s="14"/>
    </row>
    <row r="86" spans="10:20" x14ac:dyDescent="0.4">
      <c r="J86" t="s">
        <v>160</v>
      </c>
      <c r="K86">
        <v>85</v>
      </c>
      <c r="R86">
        <v>92</v>
      </c>
      <c r="T86" s="14"/>
    </row>
    <row r="87" spans="10:20" x14ac:dyDescent="0.4">
      <c r="J87" t="s">
        <v>161</v>
      </c>
      <c r="K87">
        <v>86</v>
      </c>
      <c r="R87">
        <v>93</v>
      </c>
      <c r="T87" s="14"/>
    </row>
    <row r="88" spans="10:20" x14ac:dyDescent="0.4">
      <c r="J88" t="s">
        <v>162</v>
      </c>
      <c r="K88">
        <v>87</v>
      </c>
      <c r="R88">
        <v>94</v>
      </c>
      <c r="T88" s="14"/>
    </row>
    <row r="89" spans="10:20" x14ac:dyDescent="0.4">
      <c r="J89" t="s">
        <v>163</v>
      </c>
      <c r="K89">
        <v>88</v>
      </c>
      <c r="R89">
        <v>95</v>
      </c>
      <c r="T89" s="14"/>
    </row>
    <row r="90" spans="10:20" x14ac:dyDescent="0.4">
      <c r="J90" t="s">
        <v>164</v>
      </c>
      <c r="K90">
        <v>89</v>
      </c>
      <c r="R90">
        <v>96</v>
      </c>
      <c r="S90" t="s">
        <v>538</v>
      </c>
      <c r="T90" s="14"/>
    </row>
    <row r="91" spans="10:20" x14ac:dyDescent="0.4">
      <c r="J91" t="s">
        <v>165</v>
      </c>
      <c r="K91">
        <v>90</v>
      </c>
      <c r="R91">
        <v>97</v>
      </c>
      <c r="T91" s="14"/>
    </row>
    <row r="92" spans="10:20" x14ac:dyDescent="0.4">
      <c r="J92" t="s">
        <v>166</v>
      </c>
      <c r="K92">
        <v>91</v>
      </c>
      <c r="R92">
        <v>98</v>
      </c>
      <c r="T92" s="14"/>
    </row>
    <row r="93" spans="10:20" x14ac:dyDescent="0.4">
      <c r="J93" t="s">
        <v>167</v>
      </c>
      <c r="K93">
        <v>92</v>
      </c>
      <c r="R93">
        <v>99</v>
      </c>
      <c r="T93" s="14"/>
    </row>
    <row r="94" spans="10:20" x14ac:dyDescent="0.4">
      <c r="J94" t="s">
        <v>168</v>
      </c>
      <c r="K94">
        <v>93</v>
      </c>
      <c r="R94">
        <v>100</v>
      </c>
      <c r="S94" t="s">
        <v>539</v>
      </c>
      <c r="T94" s="14"/>
    </row>
    <row r="95" spans="10:20" x14ac:dyDescent="0.4">
      <c r="J95" t="s">
        <v>169</v>
      </c>
      <c r="K95">
        <v>94</v>
      </c>
      <c r="R95">
        <v>101</v>
      </c>
      <c r="S95" t="s">
        <v>540</v>
      </c>
      <c r="T95" s="14"/>
    </row>
    <row r="96" spans="10:20" x14ac:dyDescent="0.4">
      <c r="J96" t="s">
        <v>170</v>
      </c>
      <c r="K96">
        <v>95</v>
      </c>
      <c r="R96">
        <v>102</v>
      </c>
      <c r="T96" s="14"/>
    </row>
    <row r="97" spans="10:20" x14ac:dyDescent="0.4">
      <c r="J97" t="s">
        <v>171</v>
      </c>
      <c r="K97">
        <v>96</v>
      </c>
      <c r="R97">
        <v>103</v>
      </c>
      <c r="S97" t="s">
        <v>541</v>
      </c>
      <c r="T97" s="14"/>
    </row>
    <row r="98" spans="10:20" x14ac:dyDescent="0.4">
      <c r="J98" t="s">
        <v>172</v>
      </c>
      <c r="K98">
        <v>97</v>
      </c>
      <c r="R98">
        <v>104</v>
      </c>
      <c r="T98" s="14"/>
    </row>
    <row r="99" spans="10:20" x14ac:dyDescent="0.4">
      <c r="J99" t="s">
        <v>173</v>
      </c>
      <c r="K99">
        <v>98</v>
      </c>
      <c r="R99">
        <v>105</v>
      </c>
      <c r="S99" t="s">
        <v>542</v>
      </c>
      <c r="T99" s="14"/>
    </row>
    <row r="100" spans="10:20" x14ac:dyDescent="0.4">
      <c r="J100" t="s">
        <v>174</v>
      </c>
      <c r="K100">
        <v>99</v>
      </c>
      <c r="R100">
        <v>106</v>
      </c>
      <c r="T100" s="14"/>
    </row>
    <row r="101" spans="10:20" x14ac:dyDescent="0.4">
      <c r="J101" t="s">
        <v>175</v>
      </c>
      <c r="K101">
        <v>100</v>
      </c>
      <c r="R101">
        <v>107</v>
      </c>
      <c r="S101" t="s">
        <v>543</v>
      </c>
      <c r="T101" s="14"/>
    </row>
    <row r="102" spans="10:20" x14ac:dyDescent="0.4">
      <c r="J102" t="s">
        <v>176</v>
      </c>
      <c r="K102">
        <v>101</v>
      </c>
      <c r="R102">
        <v>108</v>
      </c>
      <c r="S102" t="s">
        <v>544</v>
      </c>
      <c r="T102" s="14"/>
    </row>
    <row r="103" spans="10:20" x14ac:dyDescent="0.4">
      <c r="J103" t="s">
        <v>177</v>
      </c>
      <c r="K103">
        <v>102</v>
      </c>
      <c r="R103">
        <v>109</v>
      </c>
      <c r="S103" t="s">
        <v>545</v>
      </c>
      <c r="T103" s="14"/>
    </row>
    <row r="104" spans="10:20" x14ac:dyDescent="0.4">
      <c r="J104" t="s">
        <v>178</v>
      </c>
      <c r="K104">
        <v>103</v>
      </c>
      <c r="R104">
        <v>110</v>
      </c>
      <c r="S104" t="s">
        <v>474</v>
      </c>
      <c r="T104" s="14"/>
    </row>
    <row r="105" spans="10:20" x14ac:dyDescent="0.4">
      <c r="J105" t="s">
        <v>179</v>
      </c>
      <c r="K105">
        <v>104</v>
      </c>
      <c r="R105">
        <v>111</v>
      </c>
      <c r="S105" t="s">
        <v>546</v>
      </c>
      <c r="T105" s="14"/>
    </row>
    <row r="106" spans="10:20" x14ac:dyDescent="0.4">
      <c r="J106" t="s">
        <v>180</v>
      </c>
      <c r="K106">
        <v>105</v>
      </c>
      <c r="R106">
        <v>112</v>
      </c>
      <c r="T106" s="14"/>
    </row>
    <row r="107" spans="10:20" x14ac:dyDescent="0.4">
      <c r="J107" t="s">
        <v>181</v>
      </c>
      <c r="K107">
        <v>106</v>
      </c>
      <c r="R107">
        <v>113</v>
      </c>
      <c r="S107" t="s">
        <v>627</v>
      </c>
      <c r="T107" s="14"/>
    </row>
    <row r="108" spans="10:20" x14ac:dyDescent="0.4">
      <c r="J108" t="s">
        <v>843</v>
      </c>
      <c r="K108">
        <v>107</v>
      </c>
      <c r="R108">
        <v>114</v>
      </c>
      <c r="T108" s="14"/>
    </row>
    <row r="109" spans="10:20" x14ac:dyDescent="0.4">
      <c r="J109" t="s">
        <v>182</v>
      </c>
      <c r="K109">
        <v>108</v>
      </c>
      <c r="R109">
        <v>115</v>
      </c>
      <c r="S109" t="s">
        <v>547</v>
      </c>
      <c r="T109" s="14"/>
    </row>
    <row r="110" spans="10:20" x14ac:dyDescent="0.4">
      <c r="J110" t="s">
        <v>183</v>
      </c>
      <c r="K110">
        <v>109</v>
      </c>
      <c r="R110">
        <v>116</v>
      </c>
      <c r="T110" s="14"/>
    </row>
    <row r="111" spans="10:20" x14ac:dyDescent="0.4">
      <c r="J111" t="s">
        <v>184</v>
      </c>
      <c r="K111">
        <v>110</v>
      </c>
      <c r="R111">
        <v>117</v>
      </c>
      <c r="S111" t="s">
        <v>548</v>
      </c>
      <c r="T111" s="14"/>
    </row>
    <row r="112" spans="10:20" x14ac:dyDescent="0.4">
      <c r="J112" t="s">
        <v>844</v>
      </c>
      <c r="K112">
        <v>111</v>
      </c>
      <c r="R112">
        <v>118</v>
      </c>
      <c r="S112" t="s">
        <v>549</v>
      </c>
      <c r="T112" s="14"/>
    </row>
    <row r="113" spans="10:20" x14ac:dyDescent="0.4">
      <c r="J113" t="s">
        <v>185</v>
      </c>
      <c r="K113">
        <v>112</v>
      </c>
      <c r="R113">
        <v>119</v>
      </c>
      <c r="S113" t="s">
        <v>550</v>
      </c>
      <c r="T113" s="14"/>
    </row>
    <row r="114" spans="10:20" x14ac:dyDescent="0.4">
      <c r="J114" t="s">
        <v>186</v>
      </c>
      <c r="K114">
        <v>113</v>
      </c>
      <c r="R114">
        <v>120</v>
      </c>
      <c r="T114" s="14"/>
    </row>
    <row r="115" spans="10:20" x14ac:dyDescent="0.4">
      <c r="J115" t="s">
        <v>187</v>
      </c>
      <c r="K115">
        <v>114</v>
      </c>
      <c r="R115">
        <v>121</v>
      </c>
      <c r="S115" t="s">
        <v>551</v>
      </c>
      <c r="T115" s="14"/>
    </row>
    <row r="116" spans="10:20" x14ac:dyDescent="0.4">
      <c r="J116" t="s">
        <v>188</v>
      </c>
      <c r="K116">
        <v>115</v>
      </c>
      <c r="R116">
        <v>122</v>
      </c>
      <c r="T116" s="14"/>
    </row>
    <row r="117" spans="10:20" x14ac:dyDescent="0.4">
      <c r="J117" t="s">
        <v>189</v>
      </c>
      <c r="K117">
        <v>116</v>
      </c>
      <c r="R117">
        <v>123</v>
      </c>
      <c r="S117" t="s">
        <v>628</v>
      </c>
      <c r="T117" s="14"/>
    </row>
    <row r="118" spans="10:20" x14ac:dyDescent="0.4">
      <c r="J118" t="s">
        <v>190</v>
      </c>
      <c r="K118">
        <v>117</v>
      </c>
      <c r="R118">
        <v>124</v>
      </c>
      <c r="T118" s="14"/>
    </row>
    <row r="119" spans="10:20" x14ac:dyDescent="0.4">
      <c r="J119" t="s">
        <v>191</v>
      </c>
      <c r="K119">
        <v>118</v>
      </c>
      <c r="R119">
        <v>125</v>
      </c>
      <c r="S119" t="s">
        <v>629</v>
      </c>
      <c r="T119" s="14"/>
    </row>
    <row r="120" spans="10:20" x14ac:dyDescent="0.4">
      <c r="J120" t="s">
        <v>192</v>
      </c>
      <c r="K120">
        <v>119</v>
      </c>
      <c r="R120">
        <v>126</v>
      </c>
      <c r="T120" s="14"/>
    </row>
    <row r="121" spans="10:20" x14ac:dyDescent="0.4">
      <c r="J121" t="s">
        <v>193</v>
      </c>
      <c r="K121">
        <v>120</v>
      </c>
      <c r="R121">
        <v>127</v>
      </c>
      <c r="T121" s="14"/>
    </row>
    <row r="122" spans="10:20" x14ac:dyDescent="0.4">
      <c r="J122" t="s">
        <v>194</v>
      </c>
      <c r="K122">
        <v>121</v>
      </c>
      <c r="R122">
        <v>128</v>
      </c>
      <c r="T122" s="14"/>
    </row>
    <row r="123" spans="10:20" x14ac:dyDescent="0.4">
      <c r="J123" t="s">
        <v>195</v>
      </c>
      <c r="K123">
        <v>122</v>
      </c>
      <c r="R123">
        <v>129</v>
      </c>
      <c r="T123" s="14"/>
    </row>
    <row r="124" spans="10:20" x14ac:dyDescent="0.4">
      <c r="J124" t="s">
        <v>196</v>
      </c>
      <c r="K124">
        <v>123</v>
      </c>
      <c r="R124">
        <v>130</v>
      </c>
      <c r="T124" s="14"/>
    </row>
    <row r="125" spans="10:20" x14ac:dyDescent="0.4">
      <c r="J125" t="s">
        <v>197</v>
      </c>
      <c r="K125">
        <v>124</v>
      </c>
      <c r="R125">
        <v>131</v>
      </c>
      <c r="T125" s="14"/>
    </row>
    <row r="126" spans="10:20" x14ac:dyDescent="0.4">
      <c r="J126" t="s">
        <v>198</v>
      </c>
      <c r="K126">
        <v>125</v>
      </c>
      <c r="R126">
        <v>132</v>
      </c>
      <c r="T126" s="14"/>
    </row>
    <row r="127" spans="10:20" x14ac:dyDescent="0.4">
      <c r="J127" t="s">
        <v>199</v>
      </c>
      <c r="K127">
        <v>126</v>
      </c>
      <c r="R127">
        <v>133</v>
      </c>
      <c r="T127" s="14"/>
    </row>
    <row r="128" spans="10:20" x14ac:dyDescent="0.4">
      <c r="J128" t="s">
        <v>200</v>
      </c>
      <c r="K128">
        <v>127</v>
      </c>
      <c r="R128">
        <v>134</v>
      </c>
      <c r="T128" s="14"/>
    </row>
    <row r="129" spans="10:20" x14ac:dyDescent="0.4">
      <c r="J129" t="s">
        <v>201</v>
      </c>
      <c r="K129">
        <v>128</v>
      </c>
      <c r="R129">
        <v>135</v>
      </c>
      <c r="S129" t="s">
        <v>552</v>
      </c>
      <c r="T129" s="14"/>
    </row>
    <row r="130" spans="10:20" x14ac:dyDescent="0.4">
      <c r="J130" t="s">
        <v>202</v>
      </c>
      <c r="K130">
        <v>129</v>
      </c>
      <c r="R130">
        <v>136</v>
      </c>
      <c r="T130" s="14"/>
    </row>
    <row r="131" spans="10:20" x14ac:dyDescent="0.4">
      <c r="J131" t="s">
        <v>203</v>
      </c>
      <c r="K131">
        <v>130</v>
      </c>
      <c r="R131">
        <v>137</v>
      </c>
      <c r="S131" t="s">
        <v>630</v>
      </c>
      <c r="T131" s="14"/>
    </row>
    <row r="132" spans="10:20" x14ac:dyDescent="0.4">
      <c r="J132" t="s">
        <v>204</v>
      </c>
      <c r="K132">
        <v>131</v>
      </c>
      <c r="R132">
        <v>138</v>
      </c>
      <c r="T132" s="14"/>
    </row>
    <row r="133" spans="10:20" x14ac:dyDescent="0.4">
      <c r="J133" t="s">
        <v>205</v>
      </c>
      <c r="K133">
        <v>132</v>
      </c>
      <c r="R133">
        <v>139</v>
      </c>
      <c r="S133" t="s">
        <v>631</v>
      </c>
      <c r="T133" s="14"/>
    </row>
    <row r="134" spans="10:20" x14ac:dyDescent="0.4">
      <c r="J134" t="s">
        <v>206</v>
      </c>
      <c r="K134">
        <v>133</v>
      </c>
      <c r="R134">
        <v>140</v>
      </c>
      <c r="T134" s="14"/>
    </row>
    <row r="135" spans="10:20" x14ac:dyDescent="0.4">
      <c r="J135" t="s">
        <v>207</v>
      </c>
      <c r="K135">
        <v>134</v>
      </c>
      <c r="R135">
        <v>141</v>
      </c>
      <c r="S135" t="s">
        <v>553</v>
      </c>
      <c r="T135" s="14"/>
    </row>
    <row r="136" spans="10:20" x14ac:dyDescent="0.4">
      <c r="J136" t="s">
        <v>208</v>
      </c>
      <c r="K136">
        <v>135</v>
      </c>
      <c r="R136">
        <v>142</v>
      </c>
      <c r="T136" s="14"/>
    </row>
    <row r="137" spans="10:20" x14ac:dyDescent="0.4">
      <c r="J137" t="s">
        <v>209</v>
      </c>
      <c r="K137">
        <v>136</v>
      </c>
      <c r="R137">
        <v>143</v>
      </c>
      <c r="S137" t="s">
        <v>632</v>
      </c>
      <c r="T137" s="14"/>
    </row>
    <row r="138" spans="10:20" x14ac:dyDescent="0.4">
      <c r="J138" t="s">
        <v>210</v>
      </c>
      <c r="K138">
        <v>137</v>
      </c>
      <c r="R138">
        <v>144</v>
      </c>
      <c r="T138" s="14"/>
    </row>
    <row r="139" spans="10:20" x14ac:dyDescent="0.4">
      <c r="J139" t="s">
        <v>211</v>
      </c>
      <c r="K139">
        <v>138</v>
      </c>
      <c r="R139">
        <v>145</v>
      </c>
      <c r="S139" t="s">
        <v>554</v>
      </c>
      <c r="T139" s="14"/>
    </row>
    <row r="140" spans="10:20" x14ac:dyDescent="0.4">
      <c r="J140" t="s">
        <v>212</v>
      </c>
      <c r="K140">
        <v>139</v>
      </c>
      <c r="R140">
        <v>146</v>
      </c>
      <c r="T140" s="14"/>
    </row>
    <row r="141" spans="10:20" x14ac:dyDescent="0.4">
      <c r="J141" t="s">
        <v>213</v>
      </c>
      <c r="K141">
        <v>140</v>
      </c>
      <c r="R141">
        <v>147</v>
      </c>
      <c r="S141" t="s">
        <v>555</v>
      </c>
      <c r="T141" s="14"/>
    </row>
    <row r="142" spans="10:20" x14ac:dyDescent="0.4">
      <c r="J142" t="s">
        <v>214</v>
      </c>
      <c r="K142">
        <v>141</v>
      </c>
      <c r="R142">
        <v>148</v>
      </c>
      <c r="T142" s="14"/>
    </row>
    <row r="143" spans="10:20" x14ac:dyDescent="0.4">
      <c r="J143" t="s">
        <v>215</v>
      </c>
      <c r="K143">
        <v>142</v>
      </c>
      <c r="R143">
        <v>149</v>
      </c>
      <c r="S143" t="s">
        <v>633</v>
      </c>
      <c r="T143" s="14"/>
    </row>
    <row r="144" spans="10:20" x14ac:dyDescent="0.4">
      <c r="J144" t="s">
        <v>216</v>
      </c>
      <c r="K144">
        <v>143</v>
      </c>
      <c r="R144">
        <v>150</v>
      </c>
      <c r="T144" s="14"/>
    </row>
    <row r="145" spans="10:20" x14ac:dyDescent="0.4">
      <c r="J145" t="s">
        <v>217</v>
      </c>
      <c r="K145">
        <v>144</v>
      </c>
      <c r="R145">
        <v>151</v>
      </c>
      <c r="S145" t="s">
        <v>634</v>
      </c>
      <c r="T145" s="14"/>
    </row>
    <row r="146" spans="10:20" x14ac:dyDescent="0.4">
      <c r="J146" t="s">
        <v>218</v>
      </c>
      <c r="K146">
        <v>145</v>
      </c>
      <c r="R146">
        <v>152</v>
      </c>
      <c r="T146" s="14"/>
    </row>
    <row r="147" spans="10:20" x14ac:dyDescent="0.4">
      <c r="J147" t="s">
        <v>219</v>
      </c>
      <c r="K147">
        <v>146</v>
      </c>
      <c r="R147">
        <v>153</v>
      </c>
      <c r="S147" t="s">
        <v>635</v>
      </c>
      <c r="T147" s="14"/>
    </row>
    <row r="148" spans="10:20" x14ac:dyDescent="0.4">
      <c r="J148" t="s">
        <v>220</v>
      </c>
      <c r="K148">
        <v>147</v>
      </c>
      <c r="R148">
        <v>154</v>
      </c>
      <c r="T148" s="14"/>
    </row>
    <row r="149" spans="10:20" x14ac:dyDescent="0.4">
      <c r="J149" t="s">
        <v>221</v>
      </c>
      <c r="K149">
        <v>148</v>
      </c>
      <c r="R149">
        <v>155</v>
      </c>
      <c r="S149" t="s">
        <v>556</v>
      </c>
      <c r="T149" s="14"/>
    </row>
    <row r="150" spans="10:20" x14ac:dyDescent="0.4">
      <c r="J150" t="s">
        <v>222</v>
      </c>
      <c r="K150">
        <v>149</v>
      </c>
      <c r="R150">
        <v>156</v>
      </c>
      <c r="T150" s="14"/>
    </row>
    <row r="151" spans="10:20" x14ac:dyDescent="0.4">
      <c r="J151" t="s">
        <v>223</v>
      </c>
      <c r="K151">
        <v>150</v>
      </c>
      <c r="R151">
        <v>157</v>
      </c>
      <c r="S151" t="s">
        <v>557</v>
      </c>
      <c r="T151" s="14"/>
    </row>
    <row r="152" spans="10:20" x14ac:dyDescent="0.4">
      <c r="J152" t="s">
        <v>224</v>
      </c>
      <c r="K152">
        <v>151</v>
      </c>
      <c r="R152">
        <v>158</v>
      </c>
      <c r="T152" s="14"/>
    </row>
    <row r="153" spans="10:20" x14ac:dyDescent="0.4">
      <c r="J153" t="s">
        <v>225</v>
      </c>
      <c r="K153">
        <v>152</v>
      </c>
      <c r="R153">
        <v>159</v>
      </c>
      <c r="S153" t="s">
        <v>558</v>
      </c>
      <c r="T153" s="14"/>
    </row>
    <row r="154" spans="10:20" x14ac:dyDescent="0.4">
      <c r="J154" t="s">
        <v>226</v>
      </c>
      <c r="K154">
        <v>153</v>
      </c>
      <c r="R154">
        <v>160</v>
      </c>
      <c r="T154" s="14"/>
    </row>
    <row r="155" spans="10:20" x14ac:dyDescent="0.4">
      <c r="J155" t="s">
        <v>227</v>
      </c>
      <c r="K155">
        <v>154</v>
      </c>
      <c r="R155">
        <v>161</v>
      </c>
      <c r="S155" t="s">
        <v>559</v>
      </c>
      <c r="T155" s="14"/>
    </row>
    <row r="156" spans="10:20" x14ac:dyDescent="0.4">
      <c r="J156" t="s">
        <v>228</v>
      </c>
      <c r="K156">
        <v>155</v>
      </c>
      <c r="R156">
        <v>162</v>
      </c>
      <c r="T156" s="14"/>
    </row>
    <row r="157" spans="10:20" x14ac:dyDescent="0.4">
      <c r="J157" t="s">
        <v>229</v>
      </c>
      <c r="K157">
        <v>156</v>
      </c>
      <c r="R157">
        <v>163</v>
      </c>
      <c r="S157" t="s">
        <v>560</v>
      </c>
      <c r="T157" s="14"/>
    </row>
    <row r="158" spans="10:20" x14ac:dyDescent="0.4">
      <c r="J158" t="s">
        <v>230</v>
      </c>
      <c r="K158">
        <v>157</v>
      </c>
      <c r="R158">
        <v>164</v>
      </c>
      <c r="S158" t="s">
        <v>561</v>
      </c>
      <c r="T158" s="14"/>
    </row>
    <row r="159" spans="10:20" x14ac:dyDescent="0.4">
      <c r="J159" t="s">
        <v>231</v>
      </c>
      <c r="K159">
        <v>158</v>
      </c>
      <c r="R159">
        <v>165</v>
      </c>
      <c r="S159" t="s">
        <v>562</v>
      </c>
      <c r="T159" s="14"/>
    </row>
    <row r="160" spans="10:20" x14ac:dyDescent="0.4">
      <c r="J160" t="s">
        <v>232</v>
      </c>
      <c r="K160">
        <v>159</v>
      </c>
      <c r="R160">
        <v>166</v>
      </c>
      <c r="T160" s="14"/>
    </row>
    <row r="161" spans="10:20" x14ac:dyDescent="0.4">
      <c r="J161" t="s">
        <v>233</v>
      </c>
      <c r="K161">
        <v>160</v>
      </c>
      <c r="R161">
        <v>167</v>
      </c>
      <c r="S161" t="s">
        <v>637</v>
      </c>
      <c r="T161" s="14"/>
    </row>
    <row r="162" spans="10:20" x14ac:dyDescent="0.4">
      <c r="J162" t="s">
        <v>234</v>
      </c>
      <c r="K162">
        <v>161</v>
      </c>
      <c r="R162">
        <v>168</v>
      </c>
      <c r="T162" s="14"/>
    </row>
    <row r="163" spans="10:20" x14ac:dyDescent="0.4">
      <c r="J163" t="s">
        <v>235</v>
      </c>
      <c r="K163">
        <v>162</v>
      </c>
      <c r="R163">
        <v>169</v>
      </c>
      <c r="S163" t="s">
        <v>638</v>
      </c>
      <c r="T163" s="14"/>
    </row>
    <row r="164" spans="10:20" x14ac:dyDescent="0.4">
      <c r="J164" t="s">
        <v>236</v>
      </c>
      <c r="K164">
        <v>163</v>
      </c>
      <c r="R164">
        <v>170</v>
      </c>
      <c r="S164" t="s">
        <v>636</v>
      </c>
      <c r="T164" s="14"/>
    </row>
    <row r="165" spans="10:20" x14ac:dyDescent="0.4">
      <c r="J165" t="s">
        <v>237</v>
      </c>
      <c r="K165">
        <v>164</v>
      </c>
      <c r="R165">
        <v>171</v>
      </c>
      <c r="S165" t="s">
        <v>639</v>
      </c>
      <c r="T165" s="14"/>
    </row>
    <row r="166" spans="10:20" x14ac:dyDescent="0.4">
      <c r="J166" t="s">
        <v>238</v>
      </c>
      <c r="K166">
        <v>165</v>
      </c>
      <c r="R166">
        <v>172</v>
      </c>
      <c r="S166" t="s">
        <v>640</v>
      </c>
      <c r="T166" s="14"/>
    </row>
    <row r="167" spans="10:20" x14ac:dyDescent="0.4">
      <c r="J167" t="s">
        <v>239</v>
      </c>
      <c r="K167">
        <v>166</v>
      </c>
      <c r="R167">
        <v>173</v>
      </c>
      <c r="S167" t="s">
        <v>563</v>
      </c>
      <c r="T167" s="14"/>
    </row>
    <row r="168" spans="10:20" x14ac:dyDescent="0.4">
      <c r="J168" t="s">
        <v>240</v>
      </c>
      <c r="K168">
        <v>167</v>
      </c>
      <c r="R168">
        <v>174</v>
      </c>
      <c r="S168" t="s">
        <v>564</v>
      </c>
      <c r="T168" s="14"/>
    </row>
    <row r="169" spans="10:20" x14ac:dyDescent="0.4">
      <c r="J169" t="s">
        <v>241</v>
      </c>
      <c r="K169">
        <v>168</v>
      </c>
      <c r="R169">
        <v>175</v>
      </c>
      <c r="S169" t="s">
        <v>565</v>
      </c>
      <c r="T169" s="14"/>
    </row>
    <row r="170" spans="10:20" x14ac:dyDescent="0.4">
      <c r="J170" t="s">
        <v>242</v>
      </c>
      <c r="K170">
        <v>169</v>
      </c>
      <c r="R170">
        <v>176</v>
      </c>
      <c r="S170" t="s">
        <v>641</v>
      </c>
      <c r="T170" s="14"/>
    </row>
    <row r="171" spans="10:20" x14ac:dyDescent="0.4">
      <c r="J171" t="s">
        <v>243</v>
      </c>
      <c r="K171">
        <v>170</v>
      </c>
      <c r="R171">
        <v>177</v>
      </c>
      <c r="S171" t="s">
        <v>642</v>
      </c>
      <c r="T171" s="14"/>
    </row>
    <row r="172" spans="10:20" x14ac:dyDescent="0.4">
      <c r="J172" t="s">
        <v>244</v>
      </c>
      <c r="K172">
        <v>171</v>
      </c>
      <c r="R172">
        <v>178</v>
      </c>
      <c r="T172" s="14"/>
    </row>
    <row r="173" spans="10:20" x14ac:dyDescent="0.4">
      <c r="J173" t="s">
        <v>245</v>
      </c>
      <c r="K173">
        <v>172</v>
      </c>
      <c r="R173">
        <v>179</v>
      </c>
      <c r="S173" t="s">
        <v>566</v>
      </c>
      <c r="T173" s="14"/>
    </row>
    <row r="174" spans="10:20" x14ac:dyDescent="0.4">
      <c r="J174" t="s">
        <v>246</v>
      </c>
      <c r="K174">
        <v>173</v>
      </c>
      <c r="R174">
        <v>180</v>
      </c>
      <c r="S174" t="s">
        <v>567</v>
      </c>
      <c r="T174" s="14"/>
    </row>
    <row r="175" spans="10:20" x14ac:dyDescent="0.4">
      <c r="J175" t="s">
        <v>247</v>
      </c>
      <c r="K175">
        <v>174</v>
      </c>
      <c r="R175">
        <v>181</v>
      </c>
      <c r="S175" t="s">
        <v>568</v>
      </c>
      <c r="T175" s="14"/>
    </row>
    <row r="176" spans="10:20" x14ac:dyDescent="0.4">
      <c r="J176" t="s">
        <v>248</v>
      </c>
      <c r="K176">
        <v>175</v>
      </c>
      <c r="R176">
        <v>182</v>
      </c>
      <c r="S176" t="s">
        <v>569</v>
      </c>
      <c r="T176" s="14"/>
    </row>
    <row r="177" spans="10:20" x14ac:dyDescent="0.4">
      <c r="J177" t="s">
        <v>249</v>
      </c>
      <c r="K177">
        <v>176</v>
      </c>
      <c r="R177">
        <v>183</v>
      </c>
      <c r="S177" t="s">
        <v>570</v>
      </c>
      <c r="T177" s="14"/>
    </row>
    <row r="178" spans="10:20" x14ac:dyDescent="0.4">
      <c r="J178" t="s">
        <v>250</v>
      </c>
      <c r="K178">
        <v>177</v>
      </c>
      <c r="R178">
        <v>222</v>
      </c>
      <c r="S178" t="s">
        <v>571</v>
      </c>
      <c r="T178" s="14"/>
    </row>
    <row r="179" spans="10:20" x14ac:dyDescent="0.4">
      <c r="J179" t="s">
        <v>251</v>
      </c>
      <c r="K179">
        <v>178</v>
      </c>
      <c r="R179">
        <v>333</v>
      </c>
      <c r="S179" t="s">
        <v>572</v>
      </c>
      <c r="T179" s="14"/>
    </row>
    <row r="180" spans="10:20" x14ac:dyDescent="0.4">
      <c r="J180" t="s">
        <v>252</v>
      </c>
      <c r="K180">
        <v>179</v>
      </c>
      <c r="R180">
        <v>444</v>
      </c>
      <c r="S180" t="s">
        <v>573</v>
      </c>
      <c r="T180" s="14"/>
    </row>
    <row r="181" spans="10:20" x14ac:dyDescent="0.4">
      <c r="J181" t="s">
        <v>253</v>
      </c>
      <c r="K181">
        <v>180</v>
      </c>
      <c r="R181">
        <v>555</v>
      </c>
      <c r="S181" t="s">
        <v>574</v>
      </c>
      <c r="T181" s="14"/>
    </row>
    <row r="182" spans="10:20" x14ac:dyDescent="0.4">
      <c r="J182" t="s">
        <v>254</v>
      </c>
      <c r="K182">
        <v>181</v>
      </c>
      <c r="R182">
        <v>701</v>
      </c>
      <c r="S182" t="s">
        <v>575</v>
      </c>
      <c r="T182" s="14"/>
    </row>
    <row r="183" spans="10:20" x14ac:dyDescent="0.4">
      <c r="J183" t="s">
        <v>695</v>
      </c>
      <c r="K183">
        <v>182</v>
      </c>
      <c r="R183">
        <v>702</v>
      </c>
      <c r="S183" t="s">
        <v>576</v>
      </c>
      <c r="T183" s="14"/>
    </row>
    <row r="184" spans="10:20" x14ac:dyDescent="0.4">
      <c r="J184" t="s">
        <v>255</v>
      </c>
      <c r="K184">
        <v>183</v>
      </c>
      <c r="R184">
        <v>703</v>
      </c>
      <c r="S184" t="s">
        <v>577</v>
      </c>
      <c r="T184" s="14"/>
    </row>
    <row r="185" spans="10:20" x14ac:dyDescent="0.4">
      <c r="J185" t="s">
        <v>256</v>
      </c>
      <c r="K185">
        <v>184</v>
      </c>
      <c r="R185">
        <v>704</v>
      </c>
      <c r="S185" t="s">
        <v>578</v>
      </c>
      <c r="T185" s="14"/>
    </row>
    <row r="186" spans="10:20" x14ac:dyDescent="0.4">
      <c r="J186" t="s">
        <v>257</v>
      </c>
      <c r="K186">
        <v>185</v>
      </c>
      <c r="R186">
        <v>705</v>
      </c>
      <c r="S186" t="s">
        <v>579</v>
      </c>
      <c r="T186" s="14"/>
    </row>
    <row r="187" spans="10:20" x14ac:dyDescent="0.4">
      <c r="J187" t="s">
        <v>258</v>
      </c>
      <c r="K187">
        <v>186</v>
      </c>
      <c r="R187">
        <v>706</v>
      </c>
      <c r="S187" t="s">
        <v>580</v>
      </c>
      <c r="T187" s="14"/>
    </row>
    <row r="188" spans="10:20" x14ac:dyDescent="0.4">
      <c r="J188" t="s">
        <v>259</v>
      </c>
      <c r="K188">
        <v>187</v>
      </c>
      <c r="R188">
        <v>707</v>
      </c>
      <c r="S188" t="s">
        <v>581</v>
      </c>
      <c r="T188" s="14"/>
    </row>
    <row r="189" spans="10:20" x14ac:dyDescent="0.4">
      <c r="J189" t="s">
        <v>260</v>
      </c>
      <c r="K189">
        <v>188</v>
      </c>
      <c r="R189">
        <v>709</v>
      </c>
      <c r="S189" t="s">
        <v>582</v>
      </c>
      <c r="T189" s="14"/>
    </row>
    <row r="190" spans="10:20" x14ac:dyDescent="0.4">
      <c r="J190" t="s">
        <v>261</v>
      </c>
      <c r="K190">
        <v>189</v>
      </c>
      <c r="R190">
        <v>710</v>
      </c>
      <c r="S190" t="s">
        <v>583</v>
      </c>
      <c r="T190" s="14"/>
    </row>
    <row r="191" spans="10:20" x14ac:dyDescent="0.4">
      <c r="J191" t="s">
        <v>262</v>
      </c>
      <c r="K191">
        <v>190</v>
      </c>
      <c r="R191">
        <v>711</v>
      </c>
      <c r="S191" t="s">
        <v>584</v>
      </c>
      <c r="T191" s="14"/>
    </row>
    <row r="192" spans="10:20" x14ac:dyDescent="0.4">
      <c r="J192" t="s">
        <v>263</v>
      </c>
      <c r="K192">
        <v>191</v>
      </c>
      <c r="R192">
        <v>712</v>
      </c>
      <c r="S192" t="s">
        <v>585</v>
      </c>
      <c r="T192" s="14"/>
    </row>
    <row r="193" spans="10:20" x14ac:dyDescent="0.4">
      <c r="J193" t="s">
        <v>264</v>
      </c>
      <c r="K193">
        <v>192</v>
      </c>
      <c r="R193">
        <v>713</v>
      </c>
      <c r="S193" t="s">
        <v>586</v>
      </c>
      <c r="T193" s="14"/>
    </row>
    <row r="194" spans="10:20" x14ac:dyDescent="0.4">
      <c r="J194" t="s">
        <v>265</v>
      </c>
      <c r="K194">
        <v>193</v>
      </c>
      <c r="R194">
        <v>714</v>
      </c>
      <c r="S194" t="s">
        <v>587</v>
      </c>
      <c r="T194" s="14"/>
    </row>
    <row r="195" spans="10:20" x14ac:dyDescent="0.4">
      <c r="J195" t="s">
        <v>266</v>
      </c>
      <c r="K195">
        <v>194</v>
      </c>
      <c r="R195">
        <v>715</v>
      </c>
      <c r="S195" t="s">
        <v>588</v>
      </c>
      <c r="T195" s="14"/>
    </row>
    <row r="196" spans="10:20" x14ac:dyDescent="0.4">
      <c r="J196" t="s">
        <v>267</v>
      </c>
      <c r="K196">
        <v>195</v>
      </c>
      <c r="R196">
        <v>733</v>
      </c>
      <c r="S196" t="s">
        <v>589</v>
      </c>
      <c r="T196" s="14"/>
    </row>
    <row r="197" spans="10:20" x14ac:dyDescent="0.4">
      <c r="J197" t="s">
        <v>657</v>
      </c>
      <c r="K197">
        <v>196</v>
      </c>
      <c r="R197">
        <v>777</v>
      </c>
      <c r="S197" t="s">
        <v>590</v>
      </c>
      <c r="T197" s="14"/>
    </row>
    <row r="198" spans="10:20" x14ac:dyDescent="0.4">
      <c r="J198" t="s">
        <v>268</v>
      </c>
      <c r="K198">
        <v>197</v>
      </c>
      <c r="R198">
        <v>800</v>
      </c>
      <c r="S198" t="s">
        <v>591</v>
      </c>
      <c r="T198" s="14"/>
    </row>
    <row r="199" spans="10:20" x14ac:dyDescent="0.4">
      <c r="J199" t="s">
        <v>269</v>
      </c>
      <c r="K199">
        <v>198</v>
      </c>
      <c r="R199">
        <v>801</v>
      </c>
      <c r="S199" t="s">
        <v>541</v>
      </c>
      <c r="T199" s="14"/>
    </row>
    <row r="200" spans="10:20" x14ac:dyDescent="0.4">
      <c r="J200" t="s">
        <v>656</v>
      </c>
      <c r="K200">
        <v>199</v>
      </c>
      <c r="T200" s="14"/>
    </row>
    <row r="201" spans="10:20" x14ac:dyDescent="0.4">
      <c r="J201" t="s">
        <v>848</v>
      </c>
      <c r="K201">
        <v>200</v>
      </c>
      <c r="T201" s="14"/>
    </row>
    <row r="202" spans="10:20" x14ac:dyDescent="0.4">
      <c r="J202" t="s">
        <v>845</v>
      </c>
      <c r="K202">
        <v>201</v>
      </c>
      <c r="T202" s="14"/>
    </row>
    <row r="203" spans="10:20" x14ac:dyDescent="0.4">
      <c r="J203" t="s">
        <v>270</v>
      </c>
      <c r="K203">
        <v>202</v>
      </c>
      <c r="T203" s="14"/>
    </row>
    <row r="204" spans="10:20" x14ac:dyDescent="0.4">
      <c r="J204" t="s">
        <v>271</v>
      </c>
      <c r="K204">
        <v>203</v>
      </c>
      <c r="T204" s="14"/>
    </row>
    <row r="205" spans="10:20" x14ac:dyDescent="0.4">
      <c r="J205" t="s">
        <v>272</v>
      </c>
      <c r="K205">
        <v>204</v>
      </c>
      <c r="T205" s="14"/>
    </row>
    <row r="206" spans="10:20" x14ac:dyDescent="0.4">
      <c r="J206" t="s">
        <v>273</v>
      </c>
      <c r="K206">
        <v>205</v>
      </c>
      <c r="T206" s="14"/>
    </row>
    <row r="207" spans="10:20" x14ac:dyDescent="0.4">
      <c r="J207" t="s">
        <v>849</v>
      </c>
      <c r="K207">
        <v>206</v>
      </c>
      <c r="T207" s="14"/>
    </row>
    <row r="208" spans="10:20" x14ac:dyDescent="0.4">
      <c r="J208" t="s">
        <v>846</v>
      </c>
      <c r="K208">
        <v>207</v>
      </c>
      <c r="T208" s="14"/>
    </row>
    <row r="209" spans="10:20" x14ac:dyDescent="0.4">
      <c r="J209" t="s">
        <v>274</v>
      </c>
      <c r="K209">
        <v>208</v>
      </c>
      <c r="T209" s="14"/>
    </row>
    <row r="210" spans="10:20" x14ac:dyDescent="0.4">
      <c r="J210" t="s">
        <v>275</v>
      </c>
      <c r="K210">
        <v>209</v>
      </c>
      <c r="T210" s="14"/>
    </row>
    <row r="211" spans="10:20" x14ac:dyDescent="0.4">
      <c r="J211" t="s">
        <v>276</v>
      </c>
      <c r="K211">
        <v>210</v>
      </c>
      <c r="T211" s="14"/>
    </row>
    <row r="212" spans="10:20" x14ac:dyDescent="0.4">
      <c r="J212" t="s">
        <v>277</v>
      </c>
      <c r="K212">
        <v>211</v>
      </c>
      <c r="T212" s="14"/>
    </row>
    <row r="213" spans="10:20" x14ac:dyDescent="0.4">
      <c r="J213" t="s">
        <v>278</v>
      </c>
      <c r="K213">
        <v>212</v>
      </c>
      <c r="T213" s="14"/>
    </row>
    <row r="214" spans="10:20" x14ac:dyDescent="0.4">
      <c r="J214" t="s">
        <v>279</v>
      </c>
      <c r="K214">
        <v>213</v>
      </c>
      <c r="T214" s="14"/>
    </row>
    <row r="215" spans="10:20" x14ac:dyDescent="0.4">
      <c r="J215" t="s">
        <v>280</v>
      </c>
      <c r="K215">
        <v>214</v>
      </c>
      <c r="T215" s="14"/>
    </row>
    <row r="216" spans="10:20" x14ac:dyDescent="0.4">
      <c r="J216" t="s">
        <v>281</v>
      </c>
      <c r="K216">
        <v>215</v>
      </c>
      <c r="T216" s="14"/>
    </row>
    <row r="217" spans="10:20" x14ac:dyDescent="0.4">
      <c r="J217" t="s">
        <v>282</v>
      </c>
      <c r="K217">
        <v>216</v>
      </c>
      <c r="T217" s="14"/>
    </row>
    <row r="218" spans="10:20" x14ac:dyDescent="0.4">
      <c r="J218" t="s">
        <v>283</v>
      </c>
      <c r="K218">
        <v>217</v>
      </c>
      <c r="T218" s="14"/>
    </row>
    <row r="219" spans="10:20" x14ac:dyDescent="0.4">
      <c r="J219" t="s">
        <v>284</v>
      </c>
      <c r="K219">
        <v>218</v>
      </c>
      <c r="T219" s="14"/>
    </row>
    <row r="220" spans="10:20" x14ac:dyDescent="0.4">
      <c r="J220" t="s">
        <v>285</v>
      </c>
      <c r="K220">
        <v>219</v>
      </c>
      <c r="T220" s="14"/>
    </row>
    <row r="221" spans="10:20" x14ac:dyDescent="0.4">
      <c r="J221" t="s">
        <v>286</v>
      </c>
      <c r="K221">
        <v>220</v>
      </c>
      <c r="T221" s="14"/>
    </row>
    <row r="222" spans="10:20" x14ac:dyDescent="0.4">
      <c r="J222" t="s">
        <v>287</v>
      </c>
      <c r="K222">
        <v>221</v>
      </c>
      <c r="T222" s="14"/>
    </row>
    <row r="223" spans="10:20" x14ac:dyDescent="0.4">
      <c r="J223" t="s">
        <v>288</v>
      </c>
      <c r="K223">
        <v>222</v>
      </c>
      <c r="T223" s="14"/>
    </row>
    <row r="224" spans="10:20" x14ac:dyDescent="0.4">
      <c r="J224" t="s">
        <v>289</v>
      </c>
      <c r="K224">
        <v>223</v>
      </c>
      <c r="T224" s="14"/>
    </row>
    <row r="225" spans="10:20" x14ac:dyDescent="0.4">
      <c r="J225" t="s">
        <v>290</v>
      </c>
      <c r="K225">
        <v>224</v>
      </c>
      <c r="T225" s="14"/>
    </row>
    <row r="226" spans="10:20" x14ac:dyDescent="0.4">
      <c r="J226" t="s">
        <v>291</v>
      </c>
      <c r="K226">
        <v>225</v>
      </c>
      <c r="T226" s="14"/>
    </row>
    <row r="227" spans="10:20" x14ac:dyDescent="0.4">
      <c r="J227" t="s">
        <v>292</v>
      </c>
      <c r="K227">
        <v>226</v>
      </c>
      <c r="T227" s="14"/>
    </row>
    <row r="228" spans="10:20" x14ac:dyDescent="0.4">
      <c r="J228" t="s">
        <v>293</v>
      </c>
      <c r="K228">
        <v>227</v>
      </c>
      <c r="T228" s="14"/>
    </row>
    <row r="229" spans="10:20" x14ac:dyDescent="0.4">
      <c r="J229" t="s">
        <v>294</v>
      </c>
      <c r="K229">
        <v>228</v>
      </c>
      <c r="T229" s="14"/>
    </row>
    <row r="230" spans="10:20" x14ac:dyDescent="0.4">
      <c r="J230" t="s">
        <v>295</v>
      </c>
      <c r="K230">
        <v>229</v>
      </c>
      <c r="T230" s="14"/>
    </row>
    <row r="231" spans="10:20" x14ac:dyDescent="0.4">
      <c r="J231" t="s">
        <v>296</v>
      </c>
      <c r="K231">
        <v>230</v>
      </c>
      <c r="T231" s="14"/>
    </row>
    <row r="232" spans="10:20" x14ac:dyDescent="0.4">
      <c r="J232" t="s">
        <v>297</v>
      </c>
      <c r="K232">
        <v>231</v>
      </c>
      <c r="T232" s="14"/>
    </row>
    <row r="233" spans="10:20" x14ac:dyDescent="0.4">
      <c r="J233" t="s">
        <v>298</v>
      </c>
      <c r="K233">
        <v>232</v>
      </c>
      <c r="T233" s="14"/>
    </row>
    <row r="234" spans="10:20" x14ac:dyDescent="0.4">
      <c r="J234" t="s">
        <v>299</v>
      </c>
      <c r="K234">
        <v>233</v>
      </c>
      <c r="T234" s="14"/>
    </row>
    <row r="235" spans="10:20" x14ac:dyDescent="0.4">
      <c r="J235" t="s">
        <v>300</v>
      </c>
      <c r="K235">
        <v>234</v>
      </c>
      <c r="T235" s="14"/>
    </row>
    <row r="236" spans="10:20" x14ac:dyDescent="0.4">
      <c r="J236" t="s">
        <v>301</v>
      </c>
      <c r="K236">
        <v>235</v>
      </c>
      <c r="T236" s="14"/>
    </row>
    <row r="237" spans="10:20" x14ac:dyDescent="0.4">
      <c r="J237" t="s">
        <v>302</v>
      </c>
      <c r="K237">
        <v>236</v>
      </c>
      <c r="T237" s="14"/>
    </row>
    <row r="238" spans="10:20" x14ac:dyDescent="0.4">
      <c r="J238" t="s">
        <v>303</v>
      </c>
      <c r="K238">
        <v>237</v>
      </c>
      <c r="T238" s="14"/>
    </row>
    <row r="239" spans="10:20" x14ac:dyDescent="0.4">
      <c r="J239" t="s">
        <v>304</v>
      </c>
      <c r="K239">
        <v>238</v>
      </c>
      <c r="T239" s="14"/>
    </row>
    <row r="240" spans="10:20" x14ac:dyDescent="0.4">
      <c r="J240" t="s">
        <v>305</v>
      </c>
      <c r="K240">
        <v>239</v>
      </c>
      <c r="T240" s="14"/>
    </row>
    <row r="241" spans="10:20" x14ac:dyDescent="0.4">
      <c r="J241" t="s">
        <v>306</v>
      </c>
      <c r="K241">
        <v>240</v>
      </c>
      <c r="T241" s="14"/>
    </row>
    <row r="242" spans="10:20" x14ac:dyDescent="0.4">
      <c r="J242" t="s">
        <v>307</v>
      </c>
      <c r="K242">
        <v>241</v>
      </c>
      <c r="T242" s="14"/>
    </row>
    <row r="243" spans="10:20" x14ac:dyDescent="0.4">
      <c r="J243" t="s">
        <v>308</v>
      </c>
      <c r="K243">
        <v>242</v>
      </c>
      <c r="T243" s="14"/>
    </row>
    <row r="244" spans="10:20" x14ac:dyDescent="0.4">
      <c r="J244" t="s">
        <v>309</v>
      </c>
      <c r="K244">
        <v>243</v>
      </c>
      <c r="T244" s="14"/>
    </row>
    <row r="245" spans="10:20" x14ac:dyDescent="0.4">
      <c r="J245" t="s">
        <v>310</v>
      </c>
      <c r="K245">
        <v>244</v>
      </c>
      <c r="T245" s="14"/>
    </row>
    <row r="246" spans="10:20" x14ac:dyDescent="0.4">
      <c r="J246" t="s">
        <v>311</v>
      </c>
      <c r="K246">
        <v>245</v>
      </c>
      <c r="T246" s="14"/>
    </row>
    <row r="247" spans="10:20" x14ac:dyDescent="0.4">
      <c r="J247" t="s">
        <v>312</v>
      </c>
      <c r="K247">
        <v>246</v>
      </c>
      <c r="T247" s="14"/>
    </row>
    <row r="248" spans="10:20" x14ac:dyDescent="0.4">
      <c r="J248" t="s">
        <v>313</v>
      </c>
      <c r="K248">
        <v>247</v>
      </c>
      <c r="T248" s="14"/>
    </row>
    <row r="249" spans="10:20" x14ac:dyDescent="0.4">
      <c r="J249" t="s">
        <v>463</v>
      </c>
      <c r="K249">
        <v>248</v>
      </c>
      <c r="T249" s="14"/>
    </row>
    <row r="250" spans="10:20" x14ac:dyDescent="0.4">
      <c r="J250" t="s">
        <v>314</v>
      </c>
      <c r="K250">
        <v>249</v>
      </c>
      <c r="T250" s="14"/>
    </row>
    <row r="251" spans="10:20" x14ac:dyDescent="0.4">
      <c r="J251" t="s">
        <v>315</v>
      </c>
      <c r="K251">
        <v>250</v>
      </c>
      <c r="T251" s="14"/>
    </row>
    <row r="252" spans="10:20" x14ac:dyDescent="0.4">
      <c r="J252" t="s">
        <v>316</v>
      </c>
      <c r="K252">
        <v>251</v>
      </c>
      <c r="T252" s="14"/>
    </row>
    <row r="253" spans="10:20" x14ac:dyDescent="0.4">
      <c r="J253" t="s">
        <v>317</v>
      </c>
      <c r="K253">
        <v>252</v>
      </c>
      <c r="T253" s="14"/>
    </row>
    <row r="254" spans="10:20" x14ac:dyDescent="0.4">
      <c r="J254" t="s">
        <v>318</v>
      </c>
      <c r="K254">
        <v>253</v>
      </c>
      <c r="T254" s="14"/>
    </row>
    <row r="255" spans="10:20" x14ac:dyDescent="0.4">
      <c r="J255" t="s">
        <v>319</v>
      </c>
      <c r="K255">
        <v>254</v>
      </c>
      <c r="T255" s="14"/>
    </row>
    <row r="256" spans="10:20" x14ac:dyDescent="0.4">
      <c r="J256" t="s">
        <v>320</v>
      </c>
      <c r="K256">
        <v>255</v>
      </c>
      <c r="T256" s="14"/>
    </row>
    <row r="257" spans="10:20" x14ac:dyDescent="0.4">
      <c r="J257" t="s">
        <v>321</v>
      </c>
      <c r="K257">
        <v>256</v>
      </c>
      <c r="T257" s="14"/>
    </row>
    <row r="258" spans="10:20" x14ac:dyDescent="0.4">
      <c r="J258" t="s">
        <v>322</v>
      </c>
      <c r="K258">
        <v>257</v>
      </c>
      <c r="T258" s="14"/>
    </row>
    <row r="259" spans="10:20" x14ac:dyDescent="0.4">
      <c r="J259" t="s">
        <v>655</v>
      </c>
      <c r="K259">
        <v>258</v>
      </c>
      <c r="T259" s="14"/>
    </row>
    <row r="260" spans="10:20" x14ac:dyDescent="0.4">
      <c r="J260" t="s">
        <v>323</v>
      </c>
      <c r="K260">
        <v>259</v>
      </c>
      <c r="T260" s="14"/>
    </row>
    <row r="261" spans="10:20" x14ac:dyDescent="0.4">
      <c r="J261" t="s">
        <v>324</v>
      </c>
      <c r="K261">
        <v>260</v>
      </c>
      <c r="T261" s="14"/>
    </row>
    <row r="262" spans="10:20" x14ac:dyDescent="0.4">
      <c r="J262" t="s">
        <v>325</v>
      </c>
      <c r="K262">
        <v>261</v>
      </c>
      <c r="T262" s="14"/>
    </row>
    <row r="263" spans="10:20" x14ac:dyDescent="0.4">
      <c r="J263" t="s">
        <v>696</v>
      </c>
      <c r="K263">
        <v>262</v>
      </c>
      <c r="T263" s="14"/>
    </row>
    <row r="264" spans="10:20" x14ac:dyDescent="0.4">
      <c r="J264" t="s">
        <v>326</v>
      </c>
      <c r="K264">
        <v>263</v>
      </c>
      <c r="T264" s="14"/>
    </row>
    <row r="265" spans="10:20" x14ac:dyDescent="0.4">
      <c r="J265" t="s">
        <v>327</v>
      </c>
      <c r="K265">
        <v>264</v>
      </c>
      <c r="T265" s="14"/>
    </row>
    <row r="266" spans="10:20" x14ac:dyDescent="0.4">
      <c r="J266" t="s">
        <v>328</v>
      </c>
      <c r="K266">
        <v>265</v>
      </c>
      <c r="T266" s="14"/>
    </row>
    <row r="267" spans="10:20" x14ac:dyDescent="0.4">
      <c r="J267" t="s">
        <v>329</v>
      </c>
      <c r="K267" t="s">
        <v>714</v>
      </c>
      <c r="T267" s="14"/>
    </row>
    <row r="268" spans="10:20" x14ac:dyDescent="0.4">
      <c r="J268" t="s">
        <v>330</v>
      </c>
      <c r="K268" t="s">
        <v>714</v>
      </c>
      <c r="T268" s="14"/>
    </row>
    <row r="269" spans="10:20" x14ac:dyDescent="0.4">
      <c r="J269" t="s">
        <v>331</v>
      </c>
      <c r="K269" t="s">
        <v>714</v>
      </c>
      <c r="T269" s="14"/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10F2D-FFF4-4355-924C-48A3E5C506A9}">
  <sheetPr codeName="Sheet4">
    <pageSetUpPr fitToPage="1"/>
  </sheetPr>
  <dimension ref="A1"/>
  <sheetViews>
    <sheetView zoomScale="60" zoomScaleNormal="60" workbookViewId="0">
      <selection activeCell="AS12" sqref="AS12:AX12"/>
    </sheetView>
  </sheetViews>
  <sheetFormatPr defaultColWidth="2.625" defaultRowHeight="15" customHeight="1" x14ac:dyDescent="0.4"/>
  <sheetData/>
  <phoneticPr fontId="1"/>
  <printOptions horizontalCentered="1"/>
  <pageMargins left="9.8425196850393692E-2" right="0" top="0.19685039370078738" bottom="0" header="0.19685039370078738" footer="0"/>
  <pageSetup paperSize="9" orientation="landscape" r:id="rId1"/>
  <headerFooter>
    <oddHeader>&amp;C&amp;P/&amp;N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61E09-BB84-444F-8ED9-362DB1408DEF}">
  <sheetPr codeName="Sheet5"/>
  <dimension ref="A1:BS16"/>
  <sheetViews>
    <sheetView zoomScale="60" zoomScaleNormal="60" workbookViewId="0">
      <selection activeCell="AB33" sqref="AB33"/>
    </sheetView>
  </sheetViews>
  <sheetFormatPr defaultColWidth="2.625" defaultRowHeight="15" customHeight="1" x14ac:dyDescent="0.4"/>
  <sheetData>
    <row r="1" spans="1:71" ht="15" customHeight="1" x14ac:dyDescent="0.3">
      <c r="A1" s="6" t="s">
        <v>333</v>
      </c>
      <c r="B1" s="151"/>
      <c r="C1" s="151"/>
      <c r="D1" s="151"/>
      <c r="E1" s="151"/>
      <c r="F1" s="151"/>
      <c r="G1" s="6" t="s">
        <v>334</v>
      </c>
      <c r="H1" s="151"/>
      <c r="I1" s="151"/>
      <c r="J1" s="151"/>
      <c r="K1" s="151"/>
      <c r="L1" s="151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9"/>
      <c r="AC1" s="9"/>
      <c r="AD1" s="9"/>
      <c r="AE1" s="9"/>
      <c r="AF1" s="9"/>
      <c r="AG1" s="7"/>
      <c r="AH1" s="154"/>
      <c r="AI1" s="154"/>
      <c r="AJ1" s="154"/>
      <c r="AK1" s="154"/>
      <c r="AL1" s="154"/>
      <c r="AM1" s="8"/>
      <c r="AN1" s="8"/>
      <c r="AO1" s="8"/>
      <c r="AP1" s="8"/>
      <c r="AQ1" s="8"/>
      <c r="AR1" s="8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45"/>
      <c r="BG1" s="145"/>
      <c r="BH1" s="145"/>
      <c r="BI1" s="145"/>
      <c r="BJ1" s="145"/>
      <c r="BK1" s="145"/>
      <c r="BL1" s="145"/>
      <c r="BM1" s="145"/>
      <c r="BN1" s="145"/>
      <c r="BO1" s="145"/>
      <c r="BP1" s="145"/>
      <c r="BQ1" s="145"/>
      <c r="BR1" s="145"/>
      <c r="BS1" s="145"/>
    </row>
    <row r="2" spans="1:71" ht="15" customHeight="1" x14ac:dyDescent="0.4">
      <c r="A2" s="146"/>
      <c r="B2" s="146"/>
      <c r="C2" s="146"/>
      <c r="D2" s="146"/>
      <c r="E2" s="67" t="s">
        <v>335</v>
      </c>
      <c r="F2" s="67"/>
      <c r="G2" s="67"/>
      <c r="H2" s="67"/>
      <c r="I2" s="67"/>
      <c r="J2" s="148"/>
      <c r="K2" s="148"/>
      <c r="L2" s="148"/>
      <c r="M2" s="148"/>
      <c r="N2" s="148"/>
      <c r="O2" s="148"/>
      <c r="P2" s="148"/>
      <c r="Q2" s="148"/>
      <c r="R2" s="152" t="s">
        <v>336</v>
      </c>
      <c r="S2" s="152"/>
      <c r="T2" s="152"/>
      <c r="U2" s="152"/>
      <c r="V2" s="152"/>
      <c r="W2" s="152"/>
      <c r="X2" s="152"/>
      <c r="Y2" s="152"/>
      <c r="Z2" s="67" t="s">
        <v>337</v>
      </c>
      <c r="AA2" s="67"/>
      <c r="AB2" s="67"/>
      <c r="AC2" s="67"/>
      <c r="AD2" s="67"/>
      <c r="AE2" s="67"/>
      <c r="AF2" s="67"/>
      <c r="AG2" s="67"/>
      <c r="AH2" s="67" t="s">
        <v>362</v>
      </c>
      <c r="AI2" s="67"/>
      <c r="AJ2" s="67"/>
      <c r="AK2" s="67"/>
      <c r="AL2" s="67"/>
      <c r="AM2" s="67" t="s">
        <v>363</v>
      </c>
      <c r="AN2" s="67"/>
      <c r="AO2" s="67"/>
      <c r="AP2" s="67"/>
      <c r="AQ2" s="67"/>
      <c r="AR2" s="160"/>
      <c r="AS2" s="160"/>
      <c r="AT2" s="160"/>
      <c r="AU2" s="160"/>
      <c r="AV2" s="160"/>
      <c r="AW2" s="160"/>
      <c r="AX2" s="160"/>
      <c r="AY2" s="160"/>
      <c r="AZ2" s="160"/>
      <c r="BA2" s="160"/>
      <c r="BB2" s="160"/>
      <c r="BC2" s="160"/>
      <c r="BD2" s="160"/>
      <c r="BE2" s="67" t="s">
        <v>338</v>
      </c>
      <c r="BF2" s="67"/>
      <c r="BG2" s="67"/>
      <c r="BH2" s="67"/>
      <c r="BI2" s="67"/>
      <c r="BJ2" s="67" t="s">
        <v>339</v>
      </c>
      <c r="BK2" s="67"/>
      <c r="BL2" s="67"/>
      <c r="BM2" s="67"/>
      <c r="BN2" s="67"/>
      <c r="BO2" s="67" t="s">
        <v>340</v>
      </c>
      <c r="BP2" s="67"/>
      <c r="BQ2" s="67"/>
      <c r="BR2" s="67"/>
      <c r="BS2" s="67"/>
    </row>
    <row r="3" spans="1:71" ht="15" customHeight="1" x14ac:dyDescent="0.4">
      <c r="A3" s="147"/>
      <c r="B3" s="147"/>
      <c r="C3" s="147"/>
      <c r="D3" s="147"/>
      <c r="E3" s="150" t="s">
        <v>341</v>
      </c>
      <c r="F3" s="150"/>
      <c r="G3" s="150"/>
      <c r="H3" s="150"/>
      <c r="I3" s="150"/>
      <c r="J3" s="149"/>
      <c r="K3" s="149"/>
      <c r="L3" s="149"/>
      <c r="M3" s="149"/>
      <c r="N3" s="149"/>
      <c r="O3" s="149"/>
      <c r="P3" s="149"/>
      <c r="Q3" s="149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61"/>
      <c r="AS3" s="161"/>
      <c r="AT3" s="161"/>
      <c r="AU3" s="161"/>
      <c r="AV3" s="161"/>
      <c r="AW3" s="161"/>
      <c r="AX3" s="161"/>
      <c r="AY3" s="161"/>
      <c r="AZ3" s="161"/>
      <c r="BA3" s="161"/>
      <c r="BB3" s="161"/>
      <c r="BC3" s="161"/>
      <c r="BD3" s="161"/>
      <c r="BE3" s="144"/>
      <c r="BF3" s="144"/>
      <c r="BG3" s="144"/>
      <c r="BH3" s="144"/>
      <c r="BI3" s="144"/>
      <c r="BJ3" s="144"/>
      <c r="BK3" s="144"/>
      <c r="BL3" s="144"/>
      <c r="BM3" s="144"/>
      <c r="BN3" s="144"/>
      <c r="BO3" s="144"/>
      <c r="BP3" s="144"/>
      <c r="BQ3" s="144"/>
      <c r="BR3" s="144"/>
      <c r="BS3" s="144"/>
    </row>
    <row r="4" spans="1:71" ht="15" customHeight="1" x14ac:dyDescent="0.4">
      <c r="A4" s="68" t="s">
        <v>33</v>
      </c>
      <c r="B4" s="68"/>
      <c r="C4" s="68"/>
      <c r="D4" s="68"/>
      <c r="E4" s="68"/>
      <c r="F4" s="136" t="s">
        <v>34</v>
      </c>
      <c r="G4" s="136"/>
      <c r="H4" s="136"/>
      <c r="I4" s="136"/>
      <c r="J4" s="136"/>
      <c r="K4" s="136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7"/>
      <c r="AK4" s="127"/>
      <c r="AL4" s="68" t="s">
        <v>35</v>
      </c>
      <c r="AM4" s="68"/>
      <c r="AN4" s="68"/>
      <c r="AO4" s="68"/>
      <c r="AP4" s="68"/>
      <c r="AQ4" s="136" t="s">
        <v>34</v>
      </c>
      <c r="AR4" s="136"/>
      <c r="AS4" s="136"/>
      <c r="AT4" s="136"/>
      <c r="AU4" s="136"/>
      <c r="AV4" s="136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  <c r="BJ4" s="158"/>
      <c r="BK4" s="158"/>
      <c r="BL4" s="158"/>
      <c r="BM4" s="158"/>
      <c r="BN4" s="158"/>
      <c r="BO4" s="158"/>
      <c r="BP4" s="158"/>
      <c r="BQ4" s="158"/>
      <c r="BR4" s="158"/>
      <c r="BS4" s="158"/>
    </row>
    <row r="5" spans="1:71" ht="15" customHeight="1" x14ac:dyDescent="0.4">
      <c r="A5" s="68" t="s">
        <v>36</v>
      </c>
      <c r="B5" s="68"/>
      <c r="C5" s="68"/>
      <c r="D5" s="68"/>
      <c r="E5" s="68"/>
      <c r="F5" s="136" t="s">
        <v>34</v>
      </c>
      <c r="G5" s="136"/>
      <c r="H5" s="136"/>
      <c r="I5" s="136"/>
      <c r="J5" s="136"/>
      <c r="K5" s="136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  <c r="Z5" s="127"/>
      <c r="AA5" s="127"/>
      <c r="AB5" s="127"/>
      <c r="AC5" s="127"/>
      <c r="AD5" s="127"/>
      <c r="AE5" s="127"/>
      <c r="AF5" s="127"/>
      <c r="AG5" s="127"/>
      <c r="AH5" s="127"/>
      <c r="AI5" s="127"/>
      <c r="AJ5" s="127"/>
      <c r="AK5" s="127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  <c r="AZ5" s="131"/>
      <c r="BA5" s="131"/>
      <c r="BB5" s="131"/>
      <c r="BC5" s="131"/>
      <c r="BD5" s="131"/>
      <c r="BE5" s="131"/>
      <c r="BF5" s="131"/>
      <c r="BG5" s="131"/>
      <c r="BH5" s="131"/>
      <c r="BI5" s="131"/>
      <c r="BJ5" s="131"/>
      <c r="BK5" s="131"/>
      <c r="BL5" s="131"/>
      <c r="BM5" s="131"/>
      <c r="BN5" s="131"/>
      <c r="BO5" s="131"/>
      <c r="BP5" s="131"/>
      <c r="BQ5" s="131"/>
      <c r="BR5" s="131"/>
      <c r="BS5" s="131"/>
    </row>
    <row r="6" spans="1:71" ht="15" customHeight="1" x14ac:dyDescent="0.4">
      <c r="A6" s="68" t="s">
        <v>37</v>
      </c>
      <c r="B6" s="68"/>
      <c r="C6" s="68"/>
      <c r="D6" s="68"/>
      <c r="E6" s="68"/>
      <c r="F6" s="136" t="s">
        <v>34</v>
      </c>
      <c r="G6" s="136"/>
      <c r="H6" s="136"/>
      <c r="I6" s="136"/>
      <c r="J6" s="136"/>
      <c r="K6" s="136"/>
      <c r="L6" s="139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127"/>
      <c r="X6" s="127"/>
      <c r="Y6" s="127"/>
      <c r="Z6" s="127"/>
      <c r="AA6" s="127"/>
      <c r="AB6" s="127"/>
      <c r="AC6" s="127"/>
      <c r="AD6" s="127"/>
      <c r="AE6" s="127"/>
      <c r="AF6" s="127"/>
      <c r="AG6" s="127"/>
      <c r="AH6" s="127"/>
      <c r="AI6" s="127"/>
      <c r="AJ6" s="127"/>
      <c r="AK6" s="127"/>
      <c r="AL6" s="162"/>
      <c r="AM6" s="162"/>
      <c r="AN6" s="162"/>
      <c r="AO6" s="162"/>
      <c r="AP6" s="162"/>
      <c r="AQ6" s="162"/>
      <c r="AR6" s="162"/>
      <c r="AS6" s="162"/>
      <c r="AT6" s="162"/>
      <c r="AU6" s="162"/>
      <c r="AV6" s="162"/>
      <c r="AW6" s="162"/>
      <c r="AX6" s="162"/>
      <c r="AY6" s="162"/>
      <c r="AZ6" s="162"/>
      <c r="BA6" s="162"/>
      <c r="BB6" s="162"/>
      <c r="BC6" s="162"/>
      <c r="BD6" s="162"/>
      <c r="BE6" s="162"/>
      <c r="BF6" s="162"/>
      <c r="BG6" s="162"/>
      <c r="BH6" s="162"/>
      <c r="BI6" s="162"/>
      <c r="BJ6" s="162"/>
      <c r="BK6" s="162"/>
      <c r="BL6" s="162"/>
      <c r="BM6" s="162"/>
      <c r="BN6" s="162"/>
      <c r="BO6" s="162"/>
      <c r="BP6" s="162"/>
      <c r="BQ6" s="162"/>
      <c r="BR6" s="162"/>
      <c r="BS6" s="162"/>
    </row>
    <row r="7" spans="1:71" ht="15" customHeight="1" x14ac:dyDescent="0.4">
      <c r="A7" s="140" t="s">
        <v>34</v>
      </c>
      <c r="B7" s="140"/>
      <c r="C7" s="140"/>
      <c r="D7" s="140"/>
      <c r="E7" s="140"/>
      <c r="F7" s="130" t="s">
        <v>38</v>
      </c>
      <c r="G7" s="130"/>
      <c r="H7" s="130"/>
      <c r="I7" s="130"/>
      <c r="J7" s="130"/>
      <c r="K7" s="130" t="s">
        <v>39</v>
      </c>
      <c r="L7" s="130"/>
      <c r="M7" s="130"/>
      <c r="N7" s="130"/>
      <c r="O7" s="130"/>
      <c r="P7" s="130" t="s">
        <v>40</v>
      </c>
      <c r="Q7" s="130"/>
      <c r="R7" s="130"/>
      <c r="S7" s="130"/>
      <c r="T7" s="130"/>
      <c r="U7" s="130" t="s">
        <v>41</v>
      </c>
      <c r="V7" s="130"/>
      <c r="W7" s="130"/>
      <c r="X7" s="130"/>
      <c r="Y7" s="130"/>
      <c r="Z7" s="130" t="s">
        <v>42</v>
      </c>
      <c r="AA7" s="130"/>
      <c r="AB7" s="130"/>
      <c r="AC7" s="130"/>
      <c r="AD7" s="130"/>
      <c r="AE7" s="130"/>
      <c r="AF7" s="130"/>
      <c r="AG7" s="130" t="s">
        <v>43</v>
      </c>
      <c r="AH7" s="130"/>
      <c r="AI7" s="130"/>
      <c r="AJ7" s="130"/>
      <c r="AK7" s="130"/>
      <c r="AL7" s="130"/>
      <c r="AM7" s="130"/>
      <c r="AN7" s="130"/>
      <c r="AO7" s="130"/>
      <c r="AP7" s="130" t="s">
        <v>44</v>
      </c>
      <c r="AQ7" s="130"/>
      <c r="AR7" s="130"/>
      <c r="AS7" s="130"/>
      <c r="AT7" s="130"/>
      <c r="AU7" s="130"/>
      <c r="AV7" s="130"/>
      <c r="AW7" s="130" t="s">
        <v>45</v>
      </c>
      <c r="AX7" s="130"/>
      <c r="AY7" s="130"/>
      <c r="AZ7" s="130"/>
      <c r="BA7" s="130"/>
      <c r="BB7" s="130"/>
      <c r="BC7" s="130"/>
      <c r="BD7" s="130"/>
      <c r="BE7" s="130" t="s">
        <v>46</v>
      </c>
      <c r="BF7" s="130"/>
      <c r="BG7" s="130"/>
      <c r="BH7" s="130"/>
      <c r="BI7" s="130"/>
      <c r="BJ7" s="130" t="s">
        <v>47</v>
      </c>
      <c r="BK7" s="130"/>
      <c r="BL7" s="130"/>
      <c r="BM7" s="130"/>
      <c r="BN7" s="130"/>
      <c r="BO7" s="130" t="s">
        <v>48</v>
      </c>
      <c r="BP7" s="130"/>
      <c r="BQ7" s="130"/>
      <c r="BR7" s="130"/>
      <c r="BS7" s="130"/>
    </row>
    <row r="8" spans="1:71" ht="15" customHeight="1" x14ac:dyDescent="0.4">
      <c r="A8" s="141"/>
      <c r="B8" s="141"/>
      <c r="C8" s="141"/>
      <c r="D8" s="141"/>
      <c r="E8" s="141"/>
      <c r="F8" s="142" t="s">
        <v>34</v>
      </c>
      <c r="G8" s="142"/>
      <c r="H8" s="142"/>
      <c r="I8" s="142"/>
      <c r="J8" s="142"/>
      <c r="K8" s="142" t="s">
        <v>34</v>
      </c>
      <c r="L8" s="142"/>
      <c r="M8" s="142"/>
      <c r="N8" s="142"/>
      <c r="O8" s="142"/>
      <c r="P8" s="142" t="s">
        <v>34</v>
      </c>
      <c r="Q8" s="142"/>
      <c r="R8" s="142"/>
      <c r="S8" s="142"/>
      <c r="T8" s="142"/>
      <c r="U8" s="143"/>
      <c r="V8" s="143"/>
      <c r="W8" s="143"/>
      <c r="X8" s="143"/>
      <c r="Y8" s="143"/>
      <c r="Z8" s="143" t="s">
        <v>34</v>
      </c>
      <c r="AA8" s="143"/>
      <c r="AB8" s="143"/>
      <c r="AC8" s="143"/>
      <c r="AD8" s="143"/>
      <c r="AE8" s="143"/>
      <c r="AF8" s="143"/>
      <c r="AG8" s="143" t="s">
        <v>34</v>
      </c>
      <c r="AH8" s="143"/>
      <c r="AI8" s="143"/>
      <c r="AJ8" s="143"/>
      <c r="AK8" s="143"/>
      <c r="AL8" s="143"/>
      <c r="AM8" s="143"/>
      <c r="AN8" s="143"/>
      <c r="AO8" s="143"/>
      <c r="AP8" s="143" t="s">
        <v>34</v>
      </c>
      <c r="AQ8" s="143"/>
      <c r="AR8" s="143"/>
      <c r="AS8" s="143"/>
      <c r="AT8" s="143"/>
      <c r="AU8" s="143"/>
      <c r="AV8" s="143"/>
      <c r="AW8" s="143" t="s">
        <v>34</v>
      </c>
      <c r="AX8" s="143"/>
      <c r="AY8" s="143"/>
      <c r="AZ8" s="143"/>
      <c r="BA8" s="143"/>
      <c r="BB8" s="143"/>
      <c r="BC8" s="143"/>
      <c r="BD8" s="143"/>
      <c r="BE8" s="143"/>
      <c r="BF8" s="143"/>
      <c r="BG8" s="143"/>
      <c r="BH8" s="143"/>
      <c r="BI8" s="143"/>
      <c r="BJ8" s="143"/>
      <c r="BK8" s="143"/>
      <c r="BL8" s="143"/>
      <c r="BM8" s="143"/>
      <c r="BN8" s="143"/>
      <c r="BO8" s="143"/>
      <c r="BP8" s="143"/>
      <c r="BQ8" s="143"/>
      <c r="BR8" s="143"/>
      <c r="BS8" s="143"/>
    </row>
    <row r="9" spans="1:71" ht="15" customHeight="1" x14ac:dyDescent="0.4">
      <c r="A9" s="130" t="s">
        <v>49</v>
      </c>
      <c r="B9" s="130"/>
      <c r="C9" s="130"/>
      <c r="D9" s="130"/>
      <c r="E9" s="130"/>
      <c r="F9" s="130" t="s">
        <v>50</v>
      </c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0"/>
      <c r="AC9" s="130"/>
      <c r="AD9" s="130"/>
      <c r="AE9" s="130"/>
      <c r="AF9" s="130"/>
      <c r="AG9" s="130"/>
      <c r="AH9" s="130"/>
      <c r="AI9" s="130"/>
      <c r="AJ9" s="130"/>
      <c r="AK9" s="130"/>
      <c r="AL9" s="130"/>
      <c r="AM9" s="130"/>
      <c r="AN9" s="130"/>
      <c r="AO9" s="130"/>
      <c r="AP9" s="132" t="s">
        <v>736</v>
      </c>
      <c r="AQ9" s="132"/>
      <c r="AR9" s="132"/>
      <c r="AS9" s="132"/>
      <c r="AT9" s="132"/>
      <c r="AU9" s="132"/>
      <c r="AV9" s="131"/>
      <c r="AW9" s="131"/>
      <c r="AX9" s="131"/>
      <c r="AY9" s="131"/>
      <c r="AZ9" s="131"/>
      <c r="BA9" s="2" t="s">
        <v>51</v>
      </c>
      <c r="BB9" s="132" t="s">
        <v>52</v>
      </c>
      <c r="BC9" s="132"/>
      <c r="BD9" s="132"/>
      <c r="BE9" s="133"/>
      <c r="BF9" s="133"/>
      <c r="BG9" s="133"/>
      <c r="BH9" s="133"/>
      <c r="BI9" s="133"/>
      <c r="BJ9" s="133"/>
      <c r="BK9" s="133"/>
      <c r="BL9" s="132" t="s">
        <v>53</v>
      </c>
      <c r="BM9" s="132"/>
      <c r="BN9" s="132"/>
      <c r="BO9" s="159"/>
      <c r="BP9" s="159"/>
      <c r="BQ9" s="159"/>
      <c r="BR9" s="159"/>
      <c r="BS9" s="159"/>
    </row>
    <row r="10" spans="1:71" ht="15" customHeight="1" x14ac:dyDescent="0.4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 t="s">
        <v>424</v>
      </c>
      <c r="L10" s="68"/>
      <c r="M10" s="68"/>
      <c r="N10" s="68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  <c r="AE10" s="134"/>
      <c r="AF10" s="134"/>
      <c r="AG10" s="134"/>
      <c r="AH10" s="134"/>
      <c r="AI10" s="134"/>
      <c r="AJ10" s="134"/>
      <c r="AK10" s="134"/>
      <c r="AL10" s="134"/>
      <c r="AM10" s="134"/>
      <c r="AN10" s="134"/>
      <c r="AO10" s="134"/>
      <c r="AP10" s="134"/>
      <c r="AQ10" s="134"/>
      <c r="AR10" s="134"/>
      <c r="AS10" s="68" t="s">
        <v>55</v>
      </c>
      <c r="AT10" s="68"/>
      <c r="AU10" s="68"/>
      <c r="AV10" s="68"/>
      <c r="AW10" s="135"/>
      <c r="AX10" s="135"/>
      <c r="AY10" s="135"/>
      <c r="AZ10" s="135"/>
      <c r="BA10" s="135"/>
      <c r="BB10" s="135"/>
      <c r="BC10" s="135"/>
      <c r="BD10" s="135"/>
      <c r="BE10" s="135"/>
      <c r="BF10" s="135"/>
      <c r="BG10" s="135"/>
      <c r="BH10" s="135"/>
      <c r="BI10" s="135"/>
      <c r="BJ10" s="135"/>
      <c r="BK10" s="135"/>
      <c r="BL10" s="129" t="s">
        <v>56</v>
      </c>
      <c r="BM10" s="129"/>
      <c r="BN10" s="129"/>
      <c r="BO10" s="136"/>
      <c r="BP10" s="136"/>
      <c r="BQ10" s="136"/>
      <c r="BR10" s="136"/>
      <c r="BS10" s="136"/>
    </row>
    <row r="11" spans="1:71" ht="15" customHeight="1" x14ac:dyDescent="0.4">
      <c r="A11" s="68" t="s">
        <v>57</v>
      </c>
      <c r="B11" s="68"/>
      <c r="C11" s="68"/>
      <c r="D11" s="68"/>
      <c r="E11" s="68"/>
      <c r="I11" s="68" t="s">
        <v>58</v>
      </c>
      <c r="J11" s="68"/>
      <c r="K11" s="68"/>
      <c r="L11" s="68"/>
      <c r="M11" s="137" t="s">
        <v>34</v>
      </c>
      <c r="N11" s="137"/>
      <c r="O11" s="137"/>
      <c r="P11" s="137"/>
      <c r="Q11" s="137"/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  <c r="AM11" s="137"/>
      <c r="AN11" s="137"/>
      <c r="AO11" s="137"/>
      <c r="AP11" s="137"/>
      <c r="AQ11" s="137"/>
      <c r="AR11" s="137"/>
      <c r="AS11" s="68" t="s">
        <v>59</v>
      </c>
      <c r="AT11" s="68"/>
      <c r="AU11" s="68"/>
      <c r="AV11" s="68"/>
      <c r="AW11" s="138"/>
      <c r="AX11" s="138"/>
      <c r="AY11" s="138"/>
      <c r="AZ11" s="138"/>
      <c r="BA11" s="138"/>
      <c r="BB11" s="138"/>
      <c r="BC11" s="138"/>
      <c r="BD11" s="138"/>
      <c r="BE11" s="138"/>
      <c r="BF11" s="138"/>
      <c r="BG11" s="138"/>
      <c r="BH11" s="138"/>
      <c r="BI11" s="138"/>
      <c r="BJ11" s="138"/>
      <c r="BK11" s="138"/>
      <c r="BL11" s="129" t="s">
        <v>60</v>
      </c>
      <c r="BM11" s="129"/>
      <c r="BN11" s="129"/>
      <c r="BO11" s="136" t="s">
        <v>34</v>
      </c>
      <c r="BP11" s="136"/>
      <c r="BQ11" s="136"/>
      <c r="BR11" s="136"/>
      <c r="BS11" s="136"/>
    </row>
    <row r="12" spans="1:71" ht="15" customHeight="1" x14ac:dyDescent="0.4">
      <c r="A12" s="136"/>
      <c r="B12" s="136"/>
      <c r="C12" s="136"/>
      <c r="D12" s="136"/>
      <c r="E12" s="136"/>
      <c r="F12" s="129" t="s">
        <v>61</v>
      </c>
      <c r="G12" s="129"/>
      <c r="H12" s="129"/>
      <c r="I12" s="136"/>
      <c r="J12" s="136"/>
      <c r="K12" s="136"/>
      <c r="L12" s="136"/>
      <c r="M12" s="3" t="s">
        <v>62</v>
      </c>
      <c r="N12" s="68"/>
      <c r="O12" s="68"/>
      <c r="P12" s="68"/>
      <c r="Q12" t="s">
        <v>63</v>
      </c>
      <c r="S12" t="s">
        <v>64</v>
      </c>
      <c r="U12" s="3"/>
      <c r="V12" s="155"/>
      <c r="W12" s="155"/>
      <c r="X12" s="155"/>
      <c r="Y12" s="4" t="s">
        <v>51</v>
      </c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  <c r="AM12" s="156"/>
      <c r="AN12" s="156"/>
      <c r="AO12" s="156"/>
      <c r="AP12" s="156"/>
      <c r="AQ12" s="156"/>
      <c r="AR12" s="156"/>
      <c r="AS12" s="156"/>
      <c r="AT12" s="156"/>
      <c r="AU12" s="156"/>
      <c r="AV12" s="156"/>
      <c r="AW12" s="156"/>
      <c r="AX12" s="156"/>
      <c r="AY12" s="129"/>
      <c r="AZ12" s="129"/>
      <c r="BA12" s="129"/>
      <c r="BB12" s="129"/>
      <c r="BC12" s="128"/>
      <c r="BD12" s="128"/>
      <c r="BE12" s="128"/>
      <c r="BF12" s="128"/>
      <c r="BG12" s="128"/>
      <c r="BH12" s="128"/>
      <c r="BI12" s="128"/>
      <c r="BJ12" s="127"/>
      <c r="BK12" s="127"/>
      <c r="BL12" s="127"/>
      <c r="BM12" s="127"/>
      <c r="BN12" s="127"/>
      <c r="BO12" s="127"/>
      <c r="BP12" s="127"/>
      <c r="BQ12" s="127"/>
      <c r="BR12" s="127"/>
      <c r="BS12" s="127"/>
    </row>
    <row r="13" spans="1:71" ht="15" customHeight="1" x14ac:dyDescent="0.4">
      <c r="A13" s="5"/>
      <c r="B13" s="5"/>
      <c r="C13" s="5"/>
      <c r="D13" s="5"/>
      <c r="E13" s="5"/>
      <c r="F13" s="136" t="s">
        <v>34</v>
      </c>
      <c r="G13" s="136"/>
      <c r="H13" s="136"/>
      <c r="I13" s="136"/>
      <c r="J13" s="136"/>
      <c r="K13" s="136"/>
      <c r="L13" s="136"/>
      <c r="M13" s="68" t="s">
        <v>65</v>
      </c>
      <c r="N13" s="68"/>
      <c r="O13" s="128"/>
      <c r="P13" s="128"/>
      <c r="Q13" s="128"/>
      <c r="R13" s="128"/>
      <c r="S13" s="128"/>
      <c r="T13" s="128"/>
      <c r="U13" s="128"/>
      <c r="V13" s="127"/>
      <c r="W13" s="127"/>
      <c r="X13" s="127"/>
      <c r="Y13" s="127"/>
      <c r="Z13" s="127"/>
      <c r="AA13" s="127"/>
      <c r="AB13" s="127"/>
      <c r="AC13" s="127"/>
      <c r="AD13" s="127"/>
      <c r="AE13" s="127"/>
      <c r="AF13" s="129" t="s">
        <v>66</v>
      </c>
      <c r="AG13" s="129"/>
      <c r="AH13" s="129"/>
      <c r="AI13" s="128"/>
      <c r="AJ13" s="128"/>
      <c r="AK13" s="128"/>
      <c r="AL13" s="128"/>
      <c r="AM13" s="128"/>
      <c r="AN13" s="128"/>
      <c r="AO13" s="128"/>
      <c r="AP13" s="129" t="s">
        <v>67</v>
      </c>
      <c r="AQ13" s="129"/>
      <c r="AR13" s="129"/>
      <c r="AS13" s="128"/>
      <c r="AT13" s="128"/>
      <c r="AU13" s="128"/>
      <c r="AV13" s="128"/>
      <c r="AW13" s="128"/>
      <c r="AX13" s="128"/>
      <c r="AY13" s="128"/>
      <c r="AZ13" s="129" t="s">
        <v>753</v>
      </c>
      <c r="BA13" s="129"/>
      <c r="BB13" s="129"/>
      <c r="BC13" s="128"/>
      <c r="BD13" s="128"/>
      <c r="BE13" s="128"/>
      <c r="BF13" s="128"/>
      <c r="BG13" s="128"/>
      <c r="BH13" s="128"/>
      <c r="BI13" s="128"/>
      <c r="BJ13" s="127"/>
      <c r="BK13" s="127"/>
      <c r="BL13" s="127"/>
      <c r="BM13" s="127"/>
      <c r="BN13" s="127"/>
      <c r="BO13" s="127"/>
      <c r="BP13" s="127"/>
      <c r="BQ13" s="127"/>
      <c r="BR13" s="127"/>
      <c r="BS13" s="127"/>
    </row>
    <row r="14" spans="1:71" ht="15" customHeight="1" x14ac:dyDescent="0.4">
      <c r="A14" s="123"/>
      <c r="B14" s="123"/>
      <c r="C14" s="123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4" t="s">
        <v>68</v>
      </c>
      <c r="W14" s="124"/>
      <c r="X14" s="124"/>
      <c r="Y14" s="125"/>
      <c r="Z14" s="125"/>
      <c r="AA14" s="125"/>
      <c r="AB14" s="125"/>
      <c r="AC14" s="125"/>
      <c r="AD14" s="125"/>
      <c r="AE14" s="4" t="s">
        <v>51</v>
      </c>
      <c r="AF14" s="124" t="s">
        <v>69</v>
      </c>
      <c r="AG14" s="124"/>
      <c r="AH14" s="124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4" t="s">
        <v>51</v>
      </c>
      <c r="AY14" s="124" t="s">
        <v>70</v>
      </c>
      <c r="AZ14" s="124"/>
      <c r="BA14" s="124"/>
      <c r="BB14" s="124"/>
      <c r="BC14" s="121"/>
      <c r="BD14" s="121"/>
      <c r="BE14" s="121"/>
      <c r="BF14" s="121"/>
      <c r="BG14" s="121"/>
      <c r="BH14" s="121"/>
      <c r="BI14" s="4" t="s">
        <v>51</v>
      </c>
      <c r="BJ14" s="68"/>
      <c r="BK14" s="68"/>
      <c r="BL14" s="68"/>
      <c r="BM14" s="68"/>
      <c r="BN14" s="68"/>
      <c r="BO14" s="68"/>
      <c r="BP14" s="68"/>
      <c r="BQ14" s="68"/>
      <c r="BR14" s="68"/>
      <c r="BS14" s="68"/>
    </row>
    <row r="15" spans="1:71" ht="15" customHeight="1" x14ac:dyDescent="0.4">
      <c r="A15" s="68"/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</row>
    <row r="16" spans="1:71" ht="15" customHeight="1" x14ac:dyDescent="0.4">
      <c r="A16" s="68"/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122" t="s">
        <v>71</v>
      </c>
      <c r="BI16" s="122"/>
      <c r="BJ16" s="122"/>
      <c r="BK16" s="122"/>
      <c r="BL16" s="122"/>
      <c r="BM16" s="123"/>
      <c r="BN16" s="123"/>
      <c r="BO16" s="123"/>
      <c r="BP16" s="123"/>
      <c r="BQ16" s="123"/>
      <c r="BR16" s="123"/>
      <c r="BS16" s="123"/>
    </row>
  </sheetData>
  <mergeCells count="123">
    <mergeCell ref="BJ2:BN2"/>
    <mergeCell ref="AW4:BS4"/>
    <mergeCell ref="BL9:BN9"/>
    <mergeCell ref="BO9:BS9"/>
    <mergeCell ref="BO11:BS11"/>
    <mergeCell ref="AM2:AQ2"/>
    <mergeCell ref="AR2:BD3"/>
    <mergeCell ref="AL5:AU6"/>
    <mergeCell ref="AV5:BS6"/>
    <mergeCell ref="AH9:AO9"/>
    <mergeCell ref="AP9:AU9"/>
    <mergeCell ref="AH3:AL3"/>
    <mergeCell ref="AM3:AQ3"/>
    <mergeCell ref="AS1:BE1"/>
    <mergeCell ref="F13:L13"/>
    <mergeCell ref="Z8:AF8"/>
    <mergeCell ref="AG8:AO8"/>
    <mergeCell ref="AP8:AV8"/>
    <mergeCell ref="AW8:BD8"/>
    <mergeCell ref="BE8:BI8"/>
    <mergeCell ref="BE2:BI2"/>
    <mergeCell ref="I12:L12"/>
    <mergeCell ref="N12:P12"/>
    <mergeCell ref="V12:X12"/>
    <mergeCell ref="Z12:AR12"/>
    <mergeCell ref="AY12:BB12"/>
    <mergeCell ref="BC12:BI12"/>
    <mergeCell ref="AS12:AX12"/>
    <mergeCell ref="M1:AA1"/>
    <mergeCell ref="A4:E4"/>
    <mergeCell ref="F4:K4"/>
    <mergeCell ref="L4:AK4"/>
    <mergeCell ref="AL4:AP4"/>
    <mergeCell ref="AQ4:AV4"/>
    <mergeCell ref="BO3:BS3"/>
    <mergeCell ref="BE3:BI3"/>
    <mergeCell ref="BJ3:BN3"/>
    <mergeCell ref="BF1:BS1"/>
    <mergeCell ref="A2:D3"/>
    <mergeCell ref="E2:G2"/>
    <mergeCell ref="H2:I2"/>
    <mergeCell ref="J2:Q3"/>
    <mergeCell ref="E3:G3"/>
    <mergeCell ref="H3:I3"/>
    <mergeCell ref="B1:F1"/>
    <mergeCell ref="H1:L1"/>
    <mergeCell ref="R2:Y2"/>
    <mergeCell ref="R3:Y3"/>
    <mergeCell ref="AH1:AL1"/>
    <mergeCell ref="BO2:BS2"/>
    <mergeCell ref="Z2:AG2"/>
    <mergeCell ref="AH2:AL2"/>
    <mergeCell ref="Z3:AG3"/>
    <mergeCell ref="A5:E5"/>
    <mergeCell ref="F5:K5"/>
    <mergeCell ref="L5:AK5"/>
    <mergeCell ref="A6:E6"/>
    <mergeCell ref="F6:K6"/>
    <mergeCell ref="L6:AK6"/>
    <mergeCell ref="BO7:BS7"/>
    <mergeCell ref="A7:E8"/>
    <mergeCell ref="F7:J7"/>
    <mergeCell ref="K7:O7"/>
    <mergeCell ref="P7:T7"/>
    <mergeCell ref="U7:Y7"/>
    <mergeCell ref="Z7:AF7"/>
    <mergeCell ref="F8:J8"/>
    <mergeCell ref="K8:O8"/>
    <mergeCell ref="P8:T8"/>
    <mergeCell ref="U8:Y8"/>
    <mergeCell ref="AG7:AO7"/>
    <mergeCell ref="AP7:AV7"/>
    <mergeCell ref="AW7:BD7"/>
    <mergeCell ref="BE7:BI7"/>
    <mergeCell ref="BJ7:BN7"/>
    <mergeCell ref="BO8:BS8"/>
    <mergeCell ref="BJ8:BN8"/>
    <mergeCell ref="A9:E9"/>
    <mergeCell ref="F9:J9"/>
    <mergeCell ref="K9:O9"/>
    <mergeCell ref="P9:AG9"/>
    <mergeCell ref="AV9:AZ9"/>
    <mergeCell ref="BB9:BD9"/>
    <mergeCell ref="BE9:BK9"/>
    <mergeCell ref="BJ12:BS12"/>
    <mergeCell ref="A10:E10"/>
    <mergeCell ref="F10:J10"/>
    <mergeCell ref="K10:N10"/>
    <mergeCell ref="O10:AR10"/>
    <mergeCell ref="AS10:AV10"/>
    <mergeCell ref="AW10:BK10"/>
    <mergeCell ref="BL10:BN10"/>
    <mergeCell ref="BO10:BS10"/>
    <mergeCell ref="A11:E11"/>
    <mergeCell ref="I11:L11"/>
    <mergeCell ref="M11:AR11"/>
    <mergeCell ref="AS11:AV11"/>
    <mergeCell ref="AW11:BK11"/>
    <mergeCell ref="BL11:BN11"/>
    <mergeCell ref="A12:E12"/>
    <mergeCell ref="F12:H12"/>
    <mergeCell ref="BJ13:BS13"/>
    <mergeCell ref="M13:N13"/>
    <mergeCell ref="O13:U13"/>
    <mergeCell ref="V13:AE13"/>
    <mergeCell ref="AF13:AH13"/>
    <mergeCell ref="AI13:AO13"/>
    <mergeCell ref="AP13:AR13"/>
    <mergeCell ref="AS13:AY13"/>
    <mergeCell ref="AZ13:BB13"/>
    <mergeCell ref="BC13:BI13"/>
    <mergeCell ref="BC14:BH14"/>
    <mergeCell ref="BJ14:BS14"/>
    <mergeCell ref="A15:BS15"/>
    <mergeCell ref="A16:BG16"/>
    <mergeCell ref="BH16:BL16"/>
    <mergeCell ref="BM16:BS16"/>
    <mergeCell ref="A14:U14"/>
    <mergeCell ref="V14:X14"/>
    <mergeCell ref="Y14:AD14"/>
    <mergeCell ref="AF14:AH14"/>
    <mergeCell ref="AI14:AW14"/>
    <mergeCell ref="AY14:BB14"/>
  </mergeCells>
  <phoneticPr fontId="1"/>
  <pageMargins left="0.7" right="0.7" top="0.75" bottom="0.75" header="0.3" footer="0.3"/>
  <pageSetup paperSize="9" scale="4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36D63-EA11-4D62-9DD1-D6FFD251E7EC}">
  <sheetPr codeName="Sheet9"/>
  <dimension ref="A1:AM26"/>
  <sheetViews>
    <sheetView view="pageBreakPreview" zoomScale="90" zoomScaleNormal="100" zoomScaleSheetLayoutView="90" workbookViewId="0">
      <selection activeCell="C7" sqref="C7"/>
    </sheetView>
  </sheetViews>
  <sheetFormatPr defaultColWidth="2.625" defaultRowHeight="18.75" x14ac:dyDescent="0.4"/>
  <cols>
    <col min="1" max="1" width="4.625" bestFit="1" customWidth="1"/>
    <col min="2" max="3" width="3.625" bestFit="1" customWidth="1"/>
  </cols>
  <sheetData>
    <row r="1" spans="1:39" x14ac:dyDescent="0.4">
      <c r="A1">
        <v>17</v>
      </c>
      <c r="B1">
        <v>4</v>
      </c>
      <c r="C1">
        <v>34</v>
      </c>
    </row>
    <row r="2" spans="1:39" x14ac:dyDescent="0.4">
      <c r="A2">
        <v>4</v>
      </c>
      <c r="B2">
        <v>5</v>
      </c>
      <c r="C2">
        <v>7</v>
      </c>
    </row>
    <row r="3" spans="1:39" x14ac:dyDescent="0.4">
      <c r="A3">
        <v>22</v>
      </c>
      <c r="B3">
        <v>15</v>
      </c>
      <c r="C3">
        <v>27</v>
      </c>
      <c r="X3" s="212">
        <f ca="1">NOW()</f>
        <v>46241.510259606483</v>
      </c>
      <c r="Y3" s="212"/>
      <c r="Z3" s="212"/>
      <c r="AA3" s="212"/>
      <c r="AB3" s="212"/>
      <c r="AC3" s="212"/>
      <c r="AD3" s="212"/>
      <c r="AE3" s="212"/>
      <c r="AF3" s="212"/>
      <c r="AG3" s="212"/>
      <c r="AH3" s="13"/>
      <c r="AI3" s="13"/>
      <c r="AJ3" s="13"/>
      <c r="AK3" s="13"/>
      <c r="AL3" s="13"/>
      <c r="AM3" s="13"/>
    </row>
    <row r="4" spans="1:39" ht="15" customHeight="1" x14ac:dyDescent="0.4">
      <c r="A4">
        <v>44</v>
      </c>
      <c r="B4">
        <v>31</v>
      </c>
      <c r="C4">
        <v>55</v>
      </c>
      <c r="E4" s="163" t="str">
        <f ca="1">YEAR(NOW())&amp;"年"&amp;MONTH(NOW())&amp;"月"&amp;DAY(NOW()) &amp; "日の管理課　伝票処理枚数　一覧"</f>
        <v>2026年8月7日の管理課　伝票処理枚数　一覧</v>
      </c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5"/>
      <c r="AI4" s="15"/>
      <c r="AJ4" s="15"/>
      <c r="AK4" s="15"/>
      <c r="AL4" s="15"/>
      <c r="AM4" s="15"/>
    </row>
    <row r="5" spans="1:39" ht="18.75" customHeight="1" x14ac:dyDescent="0.4">
      <c r="A5">
        <v>42</v>
      </c>
      <c r="B5">
        <v>40</v>
      </c>
      <c r="C5">
        <v>70</v>
      </c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163"/>
      <c r="AB5" s="163"/>
      <c r="AC5" s="163"/>
      <c r="AD5" s="163"/>
      <c r="AE5" s="163"/>
      <c r="AF5" s="163"/>
      <c r="AG5" s="163"/>
      <c r="AH5" s="15"/>
      <c r="AI5" s="15"/>
      <c r="AJ5" s="15"/>
      <c r="AK5" s="15"/>
      <c r="AL5" s="15"/>
      <c r="AM5" s="15"/>
    </row>
    <row r="6" spans="1:39" ht="19.5" thickBot="1" x14ac:dyDescent="0.45">
      <c r="A6">
        <v>5</v>
      </c>
      <c r="B6">
        <v>4</v>
      </c>
      <c r="C6">
        <v>24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</row>
    <row r="7" spans="1:39" ht="15.75" customHeight="1" thickBot="1" x14ac:dyDescent="0.45">
      <c r="A7">
        <v>0</v>
      </c>
      <c r="B7">
        <v>0</v>
      </c>
      <c r="C7">
        <v>0</v>
      </c>
      <c r="E7" s="179" t="s">
        <v>706</v>
      </c>
      <c r="F7" s="179"/>
      <c r="G7" s="179"/>
      <c r="H7" s="179"/>
      <c r="I7" s="179"/>
      <c r="J7" s="180" t="s">
        <v>707</v>
      </c>
      <c r="K7" s="181"/>
      <c r="L7" s="181"/>
      <c r="M7" s="181"/>
      <c r="N7" s="181"/>
      <c r="O7" s="181"/>
      <c r="P7" s="180" t="s">
        <v>708</v>
      </c>
      <c r="Q7" s="181"/>
      <c r="R7" s="181"/>
      <c r="S7" s="181"/>
      <c r="T7" s="181"/>
      <c r="U7" s="181"/>
      <c r="V7" s="181" t="s">
        <v>709</v>
      </c>
      <c r="W7" s="181"/>
      <c r="X7" s="181"/>
      <c r="Y7" s="181"/>
      <c r="Z7" s="181"/>
      <c r="AA7" s="184"/>
      <c r="AB7" s="213"/>
      <c r="AC7" s="214"/>
      <c r="AD7" s="214"/>
      <c r="AE7" s="214"/>
      <c r="AF7" s="214"/>
      <c r="AG7" s="215"/>
    </row>
    <row r="8" spans="1:39" ht="15.75" customHeight="1" thickBot="1" x14ac:dyDescent="0.45">
      <c r="E8" s="179"/>
      <c r="F8" s="179"/>
      <c r="G8" s="179"/>
      <c r="H8" s="179"/>
      <c r="I8" s="179"/>
      <c r="J8" s="182"/>
      <c r="K8" s="183"/>
      <c r="L8" s="183"/>
      <c r="M8" s="183"/>
      <c r="N8" s="183"/>
      <c r="O8" s="183"/>
      <c r="P8" s="182"/>
      <c r="Q8" s="183"/>
      <c r="R8" s="183"/>
      <c r="S8" s="183"/>
      <c r="T8" s="183"/>
      <c r="U8" s="183"/>
      <c r="V8" s="183"/>
      <c r="W8" s="183"/>
      <c r="X8" s="183"/>
      <c r="Y8" s="183"/>
      <c r="Z8" s="183"/>
      <c r="AA8" s="185"/>
      <c r="AB8" s="208" t="s">
        <v>710</v>
      </c>
      <c r="AC8" s="209"/>
      <c r="AD8" s="210"/>
      <c r="AE8" s="209" t="s">
        <v>711</v>
      </c>
      <c r="AF8" s="209"/>
      <c r="AG8" s="211"/>
    </row>
    <row r="9" spans="1:39" ht="15.75" customHeight="1" thickBot="1" x14ac:dyDescent="0.45">
      <c r="E9" s="179" t="s">
        <v>689</v>
      </c>
      <c r="F9" s="179"/>
      <c r="G9" s="179"/>
      <c r="H9" s="179"/>
      <c r="I9" s="179"/>
      <c r="J9" s="202">
        <f>A1</f>
        <v>17</v>
      </c>
      <c r="K9" s="203"/>
      <c r="L9" s="203"/>
      <c r="M9" s="203"/>
      <c r="N9" s="203"/>
      <c r="O9" s="203"/>
      <c r="P9" s="202">
        <f>B1</f>
        <v>4</v>
      </c>
      <c r="Q9" s="203"/>
      <c r="R9" s="203"/>
      <c r="S9" s="203"/>
      <c r="T9" s="203"/>
      <c r="U9" s="203"/>
      <c r="V9" s="202">
        <f>C1</f>
        <v>34</v>
      </c>
      <c r="W9" s="203"/>
      <c r="X9" s="203"/>
      <c r="Y9" s="203"/>
      <c r="Z9" s="203"/>
      <c r="AA9" s="203"/>
      <c r="AB9" s="205">
        <f>SUM(J9,P9)</f>
        <v>21</v>
      </c>
      <c r="AC9" s="206"/>
      <c r="AD9" s="202"/>
      <c r="AE9" s="206">
        <f>SUM(P9,V9)</f>
        <v>38</v>
      </c>
      <c r="AF9" s="206"/>
      <c r="AG9" s="207"/>
    </row>
    <row r="10" spans="1:39" ht="15.75" customHeight="1" x14ac:dyDescent="0.4">
      <c r="E10" s="201"/>
      <c r="F10" s="201"/>
      <c r="G10" s="201"/>
      <c r="H10" s="201"/>
      <c r="I10" s="201"/>
      <c r="J10" s="175"/>
      <c r="K10" s="204"/>
      <c r="L10" s="204"/>
      <c r="M10" s="204"/>
      <c r="N10" s="204"/>
      <c r="O10" s="204"/>
      <c r="P10" s="175"/>
      <c r="Q10" s="204"/>
      <c r="R10" s="204"/>
      <c r="S10" s="204"/>
      <c r="T10" s="204"/>
      <c r="U10" s="204"/>
      <c r="V10" s="175"/>
      <c r="W10" s="204"/>
      <c r="X10" s="204"/>
      <c r="Y10" s="204"/>
      <c r="Z10" s="204"/>
      <c r="AA10" s="204"/>
      <c r="AB10" s="173"/>
      <c r="AC10" s="174"/>
      <c r="AD10" s="175"/>
      <c r="AE10" s="174"/>
      <c r="AF10" s="174"/>
      <c r="AG10" s="176"/>
    </row>
    <row r="11" spans="1:39" ht="15.75" customHeight="1" x14ac:dyDescent="0.4">
      <c r="E11" s="167" t="s">
        <v>690</v>
      </c>
      <c r="F11" s="167"/>
      <c r="G11" s="167"/>
      <c r="H11" s="167"/>
      <c r="I11" s="167"/>
      <c r="J11" s="169">
        <f>A2</f>
        <v>4</v>
      </c>
      <c r="K11" s="170"/>
      <c r="L11" s="170"/>
      <c r="M11" s="170"/>
      <c r="N11" s="170"/>
      <c r="O11" s="170"/>
      <c r="P11" s="169">
        <f>B2</f>
        <v>5</v>
      </c>
      <c r="Q11" s="170"/>
      <c r="R11" s="170"/>
      <c r="S11" s="170"/>
      <c r="T11" s="170"/>
      <c r="U11" s="170"/>
      <c r="V11" s="169">
        <f>C2</f>
        <v>7</v>
      </c>
      <c r="W11" s="170"/>
      <c r="X11" s="170"/>
      <c r="Y11" s="170"/>
      <c r="Z11" s="170"/>
      <c r="AA11" s="170"/>
      <c r="AB11" s="196">
        <f>SUM(J11,P11)</f>
        <v>9</v>
      </c>
      <c r="AC11" s="189"/>
      <c r="AD11" s="169"/>
      <c r="AE11" s="189">
        <f>SUM(P11,V11)</f>
        <v>12</v>
      </c>
      <c r="AF11" s="189"/>
      <c r="AG11" s="190"/>
    </row>
    <row r="12" spans="1:39" ht="15.75" customHeight="1" x14ac:dyDescent="0.4">
      <c r="E12" s="167"/>
      <c r="F12" s="167"/>
      <c r="G12" s="167"/>
      <c r="H12" s="167"/>
      <c r="I12" s="167"/>
      <c r="J12" s="169"/>
      <c r="K12" s="170"/>
      <c r="L12" s="170"/>
      <c r="M12" s="170"/>
      <c r="N12" s="170"/>
      <c r="O12" s="170"/>
      <c r="P12" s="169"/>
      <c r="Q12" s="170"/>
      <c r="R12" s="170"/>
      <c r="S12" s="170"/>
      <c r="T12" s="170"/>
      <c r="U12" s="170"/>
      <c r="V12" s="169"/>
      <c r="W12" s="170"/>
      <c r="X12" s="170"/>
      <c r="Y12" s="170"/>
      <c r="Z12" s="170"/>
      <c r="AA12" s="170"/>
      <c r="AB12" s="196"/>
      <c r="AC12" s="189"/>
      <c r="AD12" s="169"/>
      <c r="AE12" s="189"/>
      <c r="AF12" s="189"/>
      <c r="AG12" s="190"/>
    </row>
    <row r="13" spans="1:39" ht="15.75" customHeight="1" x14ac:dyDescent="0.4">
      <c r="E13" s="167" t="s">
        <v>688</v>
      </c>
      <c r="F13" s="167"/>
      <c r="G13" s="167"/>
      <c r="H13" s="167"/>
      <c r="I13" s="167"/>
      <c r="J13" s="169">
        <f>A3</f>
        <v>22</v>
      </c>
      <c r="K13" s="170"/>
      <c r="L13" s="170"/>
      <c r="M13" s="170"/>
      <c r="N13" s="170"/>
      <c r="O13" s="170"/>
      <c r="P13" s="169">
        <f>B3</f>
        <v>15</v>
      </c>
      <c r="Q13" s="170"/>
      <c r="R13" s="170"/>
      <c r="S13" s="170"/>
      <c r="T13" s="170"/>
      <c r="U13" s="170"/>
      <c r="V13" s="169">
        <f>C3</f>
        <v>27</v>
      </c>
      <c r="W13" s="170"/>
      <c r="X13" s="170"/>
      <c r="Y13" s="170"/>
      <c r="Z13" s="170"/>
      <c r="AA13" s="170"/>
      <c r="AB13" s="196">
        <f>SUM(J13,P13)</f>
        <v>37</v>
      </c>
      <c r="AC13" s="189"/>
      <c r="AD13" s="169"/>
      <c r="AE13" s="189">
        <f>SUM(P13,V13)</f>
        <v>42</v>
      </c>
      <c r="AF13" s="189"/>
      <c r="AG13" s="190"/>
    </row>
    <row r="14" spans="1:39" ht="15.75" customHeight="1" x14ac:dyDescent="0.4">
      <c r="E14" s="167"/>
      <c r="F14" s="167"/>
      <c r="G14" s="167"/>
      <c r="H14" s="167"/>
      <c r="I14" s="167"/>
      <c r="J14" s="169"/>
      <c r="K14" s="170"/>
      <c r="L14" s="170"/>
      <c r="M14" s="170"/>
      <c r="N14" s="170"/>
      <c r="O14" s="170"/>
      <c r="P14" s="169"/>
      <c r="Q14" s="170"/>
      <c r="R14" s="170"/>
      <c r="S14" s="170"/>
      <c r="T14" s="170"/>
      <c r="U14" s="170"/>
      <c r="V14" s="169"/>
      <c r="W14" s="170"/>
      <c r="X14" s="170"/>
      <c r="Y14" s="170"/>
      <c r="Z14" s="170"/>
      <c r="AA14" s="170"/>
      <c r="AB14" s="196"/>
      <c r="AC14" s="189"/>
      <c r="AD14" s="169"/>
      <c r="AE14" s="189"/>
      <c r="AF14" s="189"/>
      <c r="AG14" s="190"/>
    </row>
    <row r="15" spans="1:39" ht="15.75" customHeight="1" x14ac:dyDescent="0.4">
      <c r="E15" s="167" t="s">
        <v>691</v>
      </c>
      <c r="F15" s="167"/>
      <c r="G15" s="167"/>
      <c r="H15" s="167"/>
      <c r="I15" s="167"/>
      <c r="J15" s="169">
        <f>A4</f>
        <v>44</v>
      </c>
      <c r="K15" s="170"/>
      <c r="L15" s="170"/>
      <c r="M15" s="170"/>
      <c r="N15" s="170"/>
      <c r="O15" s="170"/>
      <c r="P15" s="169">
        <f>B4</f>
        <v>31</v>
      </c>
      <c r="Q15" s="170"/>
      <c r="R15" s="170"/>
      <c r="S15" s="170"/>
      <c r="T15" s="170"/>
      <c r="U15" s="170"/>
      <c r="V15" s="169">
        <f>C4</f>
        <v>55</v>
      </c>
      <c r="W15" s="170"/>
      <c r="X15" s="170"/>
      <c r="Y15" s="170"/>
      <c r="Z15" s="170"/>
      <c r="AA15" s="170"/>
      <c r="AB15" s="196">
        <f>SUM(J15,P15)</f>
        <v>75</v>
      </c>
      <c r="AC15" s="189"/>
      <c r="AD15" s="169"/>
      <c r="AE15" s="189">
        <f>SUM(P15,V15)</f>
        <v>86</v>
      </c>
      <c r="AF15" s="189"/>
      <c r="AG15" s="190"/>
    </row>
    <row r="16" spans="1:39" ht="15.75" customHeight="1" x14ac:dyDescent="0.4">
      <c r="E16" s="167"/>
      <c r="F16" s="167"/>
      <c r="G16" s="167"/>
      <c r="H16" s="167"/>
      <c r="I16" s="167"/>
      <c r="J16" s="169"/>
      <c r="K16" s="170"/>
      <c r="L16" s="170"/>
      <c r="M16" s="170"/>
      <c r="N16" s="170"/>
      <c r="O16" s="170"/>
      <c r="P16" s="169"/>
      <c r="Q16" s="170"/>
      <c r="R16" s="170"/>
      <c r="S16" s="170"/>
      <c r="T16" s="170"/>
      <c r="U16" s="170"/>
      <c r="V16" s="169"/>
      <c r="W16" s="170"/>
      <c r="X16" s="170"/>
      <c r="Y16" s="170"/>
      <c r="Z16" s="170"/>
      <c r="AA16" s="170"/>
      <c r="AB16" s="196"/>
      <c r="AC16" s="189"/>
      <c r="AD16" s="169"/>
      <c r="AE16" s="189"/>
      <c r="AF16" s="189"/>
      <c r="AG16" s="190"/>
    </row>
    <row r="17" spans="5:33" ht="15.75" customHeight="1" x14ac:dyDescent="0.4">
      <c r="E17" s="193" t="s">
        <v>698</v>
      </c>
      <c r="F17" s="194"/>
      <c r="G17" s="194"/>
      <c r="H17" s="194"/>
      <c r="I17" s="195"/>
      <c r="J17" s="169">
        <f>A5</f>
        <v>42</v>
      </c>
      <c r="K17" s="170"/>
      <c r="L17" s="170"/>
      <c r="M17" s="170"/>
      <c r="N17" s="170"/>
      <c r="O17" s="170"/>
      <c r="P17" s="169">
        <f>B5</f>
        <v>40</v>
      </c>
      <c r="Q17" s="170"/>
      <c r="R17" s="170"/>
      <c r="S17" s="170"/>
      <c r="T17" s="170"/>
      <c r="U17" s="170"/>
      <c r="V17" s="169">
        <f>C5</f>
        <v>70</v>
      </c>
      <c r="W17" s="170"/>
      <c r="X17" s="170"/>
      <c r="Y17" s="170"/>
      <c r="Z17" s="170"/>
      <c r="AA17" s="170"/>
      <c r="AB17" s="196">
        <f>SUM(J17,P17)</f>
        <v>82</v>
      </c>
      <c r="AC17" s="189"/>
      <c r="AD17" s="169"/>
      <c r="AE17" s="189">
        <f>SUM(P17,V17)</f>
        <v>110</v>
      </c>
      <c r="AF17" s="189"/>
      <c r="AG17" s="190"/>
    </row>
    <row r="18" spans="5:33" ht="15.75" customHeight="1" x14ac:dyDescent="0.4">
      <c r="E18" s="193"/>
      <c r="F18" s="194"/>
      <c r="G18" s="194"/>
      <c r="H18" s="194"/>
      <c r="I18" s="195"/>
      <c r="J18" s="169"/>
      <c r="K18" s="170"/>
      <c r="L18" s="170"/>
      <c r="M18" s="170"/>
      <c r="N18" s="170"/>
      <c r="O18" s="170"/>
      <c r="P18" s="169"/>
      <c r="Q18" s="170"/>
      <c r="R18" s="170"/>
      <c r="S18" s="170"/>
      <c r="T18" s="170"/>
      <c r="U18" s="170"/>
      <c r="V18" s="169"/>
      <c r="W18" s="170"/>
      <c r="X18" s="170"/>
      <c r="Y18" s="170"/>
      <c r="Z18" s="170"/>
      <c r="AA18" s="170"/>
      <c r="AB18" s="196"/>
      <c r="AC18" s="189"/>
      <c r="AD18" s="169"/>
      <c r="AE18" s="189"/>
      <c r="AF18" s="189"/>
      <c r="AG18" s="190"/>
    </row>
    <row r="19" spans="5:33" ht="15.75" customHeight="1" x14ac:dyDescent="0.4">
      <c r="E19" s="167" t="s">
        <v>699</v>
      </c>
      <c r="F19" s="167"/>
      <c r="G19" s="167"/>
      <c r="H19" s="167"/>
      <c r="I19" s="167"/>
      <c r="J19" s="169">
        <f>A6+A7</f>
        <v>5</v>
      </c>
      <c r="K19" s="170"/>
      <c r="L19" s="170"/>
      <c r="M19" s="170"/>
      <c r="N19" s="170"/>
      <c r="O19" s="170"/>
      <c r="P19" s="169">
        <f>B6+B7</f>
        <v>4</v>
      </c>
      <c r="Q19" s="170"/>
      <c r="R19" s="170"/>
      <c r="S19" s="170"/>
      <c r="T19" s="170"/>
      <c r="U19" s="170"/>
      <c r="V19" s="169">
        <f>C6+C7</f>
        <v>24</v>
      </c>
      <c r="W19" s="170"/>
      <c r="X19" s="170"/>
      <c r="Y19" s="170"/>
      <c r="Z19" s="170"/>
      <c r="AA19" s="170"/>
      <c r="AB19" s="197">
        <f>SUM(J19,P19)</f>
        <v>9</v>
      </c>
      <c r="AC19" s="198"/>
      <c r="AD19" s="171"/>
      <c r="AE19" s="189">
        <f>SUM(P19,V19)</f>
        <v>28</v>
      </c>
      <c r="AF19" s="189"/>
      <c r="AG19" s="190"/>
    </row>
    <row r="20" spans="5:33" ht="15.75" customHeight="1" thickBot="1" x14ac:dyDescent="0.45">
      <c r="E20" s="167"/>
      <c r="F20" s="167"/>
      <c r="G20" s="167"/>
      <c r="H20" s="167"/>
      <c r="I20" s="167"/>
      <c r="J20" s="169"/>
      <c r="K20" s="170"/>
      <c r="L20" s="170"/>
      <c r="M20" s="170"/>
      <c r="N20" s="170"/>
      <c r="O20" s="170"/>
      <c r="P20" s="169"/>
      <c r="Q20" s="170"/>
      <c r="R20" s="170"/>
      <c r="S20" s="170"/>
      <c r="T20" s="170"/>
      <c r="U20" s="170"/>
      <c r="V20" s="169"/>
      <c r="W20" s="170"/>
      <c r="X20" s="170"/>
      <c r="Y20" s="170"/>
      <c r="Z20" s="170"/>
      <c r="AA20" s="170"/>
      <c r="AB20" s="199"/>
      <c r="AC20" s="177"/>
      <c r="AD20" s="200"/>
      <c r="AE20" s="191"/>
      <c r="AF20" s="191"/>
      <c r="AG20" s="192"/>
    </row>
    <row r="21" spans="5:33" ht="15.75" hidden="1" customHeight="1" x14ac:dyDescent="0.4">
      <c r="E21" s="167" t="s">
        <v>712</v>
      </c>
      <c r="F21" s="167"/>
      <c r="G21" s="167"/>
      <c r="H21" s="167"/>
      <c r="I21" s="167"/>
      <c r="J21" s="169">
        <f t="shared" ref="J21" si="0">A13</f>
        <v>0</v>
      </c>
      <c r="K21" s="170"/>
      <c r="L21" s="170"/>
      <c r="M21" s="170"/>
      <c r="N21" s="170"/>
      <c r="O21" s="170"/>
      <c r="P21" s="169">
        <f t="shared" ref="P21" si="1">G13</f>
        <v>0</v>
      </c>
      <c r="Q21" s="170"/>
      <c r="R21" s="170"/>
      <c r="S21" s="170"/>
      <c r="T21" s="170"/>
      <c r="U21" s="170"/>
      <c r="V21" s="169">
        <f t="shared" ref="V21" si="2">M13</f>
        <v>0</v>
      </c>
      <c r="W21" s="170"/>
      <c r="X21" s="170"/>
      <c r="Y21" s="170"/>
      <c r="Z21" s="170"/>
      <c r="AA21" s="170"/>
      <c r="AB21" s="173">
        <f>SUM(J21,P21)</f>
        <v>0</v>
      </c>
      <c r="AC21" s="174"/>
      <c r="AD21" s="175"/>
      <c r="AE21" s="174">
        <f>SUM(P21,V21)</f>
        <v>0</v>
      </c>
      <c r="AF21" s="174"/>
      <c r="AG21" s="176"/>
    </row>
    <row r="22" spans="5:33" ht="15.75" hidden="1" customHeight="1" thickBot="1" x14ac:dyDescent="0.45">
      <c r="E22" s="168"/>
      <c r="F22" s="168"/>
      <c r="G22" s="168"/>
      <c r="H22" s="168"/>
      <c r="I22" s="168"/>
      <c r="J22" s="171"/>
      <c r="K22" s="172"/>
      <c r="L22" s="172"/>
      <c r="M22" s="172"/>
      <c r="N22" s="172"/>
      <c r="O22" s="172"/>
      <c r="P22" s="171"/>
      <c r="Q22" s="172"/>
      <c r="R22" s="172"/>
      <c r="S22" s="172"/>
      <c r="T22" s="172"/>
      <c r="U22" s="172"/>
      <c r="V22" s="171"/>
      <c r="W22" s="172"/>
      <c r="X22" s="172"/>
      <c r="Y22" s="172"/>
      <c r="Z22" s="172"/>
      <c r="AA22" s="172"/>
      <c r="AB22" s="173"/>
      <c r="AC22" s="174"/>
      <c r="AD22" s="175"/>
      <c r="AE22" s="177"/>
      <c r="AF22" s="177"/>
      <c r="AG22" s="178"/>
    </row>
    <row r="23" spans="5:33" ht="15.75" customHeight="1" thickBot="1" x14ac:dyDescent="0.45">
      <c r="E23" s="179" t="s">
        <v>713</v>
      </c>
      <c r="F23" s="179"/>
      <c r="G23" s="179"/>
      <c r="H23" s="179"/>
      <c r="I23" s="179"/>
      <c r="J23" s="180">
        <f>SUM(J9:O22)</f>
        <v>134</v>
      </c>
      <c r="K23" s="181"/>
      <c r="L23" s="181"/>
      <c r="M23" s="181"/>
      <c r="N23" s="181"/>
      <c r="O23" s="181"/>
      <c r="P23" s="180">
        <f>SUM(P9:U22)</f>
        <v>99</v>
      </c>
      <c r="Q23" s="181"/>
      <c r="R23" s="181"/>
      <c r="S23" s="181"/>
      <c r="T23" s="181"/>
      <c r="U23" s="181"/>
      <c r="V23" s="180">
        <f>SUM(V9:AA22)</f>
        <v>217</v>
      </c>
      <c r="W23" s="181"/>
      <c r="X23" s="181"/>
      <c r="Y23" s="181"/>
      <c r="Z23" s="181"/>
      <c r="AA23" s="184"/>
      <c r="AB23" s="186">
        <f>SUM(AB9:AD22)</f>
        <v>233</v>
      </c>
      <c r="AC23" s="187"/>
      <c r="AD23" s="180"/>
      <c r="AE23" s="163">
        <f>SUM(AE9:AG22)</f>
        <v>316</v>
      </c>
      <c r="AF23" s="163"/>
      <c r="AG23" s="164"/>
    </row>
    <row r="24" spans="5:33" ht="15.75" customHeight="1" thickBot="1" x14ac:dyDescent="0.45">
      <c r="E24" s="179"/>
      <c r="F24" s="179"/>
      <c r="G24" s="179"/>
      <c r="H24" s="179"/>
      <c r="I24" s="179"/>
      <c r="J24" s="182"/>
      <c r="K24" s="183"/>
      <c r="L24" s="183"/>
      <c r="M24" s="183"/>
      <c r="N24" s="183"/>
      <c r="O24" s="183"/>
      <c r="P24" s="182"/>
      <c r="Q24" s="183"/>
      <c r="R24" s="183"/>
      <c r="S24" s="183"/>
      <c r="T24" s="183"/>
      <c r="U24" s="183"/>
      <c r="V24" s="182"/>
      <c r="W24" s="183"/>
      <c r="X24" s="183"/>
      <c r="Y24" s="183"/>
      <c r="Z24" s="183"/>
      <c r="AA24" s="185"/>
      <c r="AB24" s="188"/>
      <c r="AC24" s="165"/>
      <c r="AD24" s="182"/>
      <c r="AE24" s="165"/>
      <c r="AF24" s="165"/>
      <c r="AG24" s="166"/>
    </row>
    <row r="25" spans="5:33" ht="13.5" customHeight="1" x14ac:dyDescent="0.4">
      <c r="E25" s="11"/>
      <c r="F25" s="12"/>
      <c r="G25" s="12"/>
      <c r="H25" s="12"/>
      <c r="I25" s="12"/>
      <c r="J25" s="12"/>
      <c r="K25" s="12"/>
      <c r="L25" s="12"/>
      <c r="M25" s="12"/>
      <c r="N25" s="12"/>
      <c r="O25" s="12"/>
    </row>
    <row r="26" spans="5:33" ht="13.5" customHeight="1" x14ac:dyDescent="0.4"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</sheetData>
  <dataConsolidate/>
  <mergeCells count="57">
    <mergeCell ref="AB8:AD8"/>
    <mergeCell ref="AE8:AG8"/>
    <mergeCell ref="E4:AG5"/>
    <mergeCell ref="X3:AG3"/>
    <mergeCell ref="E7:I8"/>
    <mergeCell ref="J7:O8"/>
    <mergeCell ref="P7:U8"/>
    <mergeCell ref="V7:AA8"/>
    <mergeCell ref="AB7:AG7"/>
    <mergeCell ref="AE11:AG12"/>
    <mergeCell ref="E9:I10"/>
    <mergeCell ref="J9:O10"/>
    <mergeCell ref="P9:U10"/>
    <mergeCell ref="V9:AA10"/>
    <mergeCell ref="AB9:AD10"/>
    <mergeCell ref="AE9:AG10"/>
    <mergeCell ref="E11:I12"/>
    <mergeCell ref="J11:O12"/>
    <mergeCell ref="P11:U12"/>
    <mergeCell ref="V11:AA12"/>
    <mergeCell ref="AB11:AD12"/>
    <mergeCell ref="AE15:AG16"/>
    <mergeCell ref="E13:I14"/>
    <mergeCell ref="J13:O14"/>
    <mergeCell ref="P13:U14"/>
    <mergeCell ref="V13:AA14"/>
    <mergeCell ref="AB13:AD14"/>
    <mergeCell ref="AE13:AG14"/>
    <mergeCell ref="E15:I16"/>
    <mergeCell ref="J15:O16"/>
    <mergeCell ref="P15:U16"/>
    <mergeCell ref="V15:AA16"/>
    <mergeCell ref="AB15:AD16"/>
    <mergeCell ref="AE19:AG20"/>
    <mergeCell ref="E17:I18"/>
    <mergeCell ref="J17:O18"/>
    <mergeCell ref="P17:U18"/>
    <mergeCell ref="V17:AA18"/>
    <mergeCell ref="AB17:AD18"/>
    <mergeCell ref="AE17:AG18"/>
    <mergeCell ref="E19:I20"/>
    <mergeCell ref="J19:O20"/>
    <mergeCell ref="P19:U20"/>
    <mergeCell ref="V19:AA20"/>
    <mergeCell ref="AB19:AD20"/>
    <mergeCell ref="AE23:AG24"/>
    <mergeCell ref="E21:I22"/>
    <mergeCell ref="J21:O22"/>
    <mergeCell ref="P21:U22"/>
    <mergeCell ref="V21:AA22"/>
    <mergeCell ref="AB21:AD22"/>
    <mergeCell ref="AE21:AG22"/>
    <mergeCell ref="E23:I24"/>
    <mergeCell ref="J23:O24"/>
    <mergeCell ref="P23:U24"/>
    <mergeCell ref="V23:AA24"/>
    <mergeCell ref="AB23:AD24"/>
  </mergeCells>
  <phoneticPr fontId="1"/>
  <printOptions horizontalCentered="1"/>
  <pageMargins left="0" right="0" top="0" bottom="0" header="0" footer="0"/>
  <pageSetup paperSize="9" scale="15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2</vt:i4>
      </vt:variant>
    </vt:vector>
  </HeadingPairs>
  <TitlesOfParts>
    <vt:vector size="11" baseType="lpstr">
      <vt:lpstr>SW</vt:lpstr>
      <vt:lpstr>表紙</vt:lpstr>
      <vt:lpstr>main</vt:lpstr>
      <vt:lpstr>注番貼付シート</vt:lpstr>
      <vt:lpstr>設定</vt:lpstr>
      <vt:lpstr>setting</vt:lpstr>
      <vt:lpstr>temp</vt:lpstr>
      <vt:lpstr>model</vt:lpstr>
      <vt:lpstr>kanri1</vt:lpstr>
      <vt:lpstr>kanri1!Print_Area</vt:lpstr>
      <vt:lpstr>temp!Print_Titles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kt225002</dc:creator>
  <cp:lastModifiedBy>寺村　和欣</cp:lastModifiedBy>
  <cp:lastPrinted>2025-08-29T04:02:27Z</cp:lastPrinted>
  <dcterms:created xsi:type="dcterms:W3CDTF">2023-02-21T01:33:13Z</dcterms:created>
  <dcterms:modified xsi:type="dcterms:W3CDTF">2026-08-07T04:19:29Z</dcterms:modified>
</cp:coreProperties>
</file>